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ign-up" sheetId="2" state="visible" r:id="rId2"/>
    <sheet xmlns:r="http://schemas.openxmlformats.org/officeDocument/2006/relationships" name="00 Start Here" sheetId="3" state="visible" r:id="rId3"/>
    <sheet xmlns:r="http://schemas.openxmlformats.org/officeDocument/2006/relationships" name="01 Hiring" sheetId="4" state="visible" r:id="rId4"/>
    <sheet xmlns:r="http://schemas.openxmlformats.org/officeDocument/2006/relationships" name="02 Payroll" sheetId="5" state="visible" r:id="rId5"/>
    <sheet xmlns:r="http://schemas.openxmlformats.org/officeDocument/2006/relationships" name="03 Assignments" sheetId="6" state="visible" r:id="rId6"/>
    <sheet xmlns:r="http://schemas.openxmlformats.org/officeDocument/2006/relationships" name="04 Leave" sheetId="7" state="visible" r:id="rId7"/>
    <sheet xmlns:r="http://schemas.openxmlformats.org/officeDocument/2006/relationships" name="05 Costing" sheetId="8" state="visible" r:id="rId8"/>
    <sheet xmlns:r="http://schemas.openxmlformats.org/officeDocument/2006/relationships" name="06 Students and Faculty" sheetId="9" state="visible" r:id="rId9"/>
    <sheet xmlns:r="http://schemas.openxmlformats.org/officeDocument/2006/relationships" name="07 Records" sheetId="10" state="visible" r:id="rId10"/>
    <sheet xmlns:r="http://schemas.openxmlformats.org/officeDocument/2006/relationships" name="Summary" sheetId="11" state="visible" r:id="rId11"/>
    <sheet xmlns:r="http://schemas.openxmlformats.org/officeDocument/2006/relationships" name="Lists" sheetId="12" state="hidden" r:id="rId12"/>
  </sheets>
  <definedNames>
    <definedName name="_xlnm._FilterDatabase" localSheetId="2" hidden="1">'00 Start Here'!$A$1:$R$10</definedName>
    <definedName name="_xlnm._FilterDatabase" localSheetId="3" hidden="1">'01 Hiring'!$A$1:$R$20</definedName>
    <definedName name="_xlnm._FilterDatabase" localSheetId="4" hidden="1">'02 Payroll'!$A$1:$R$13</definedName>
    <definedName name="_xlnm._FilterDatabase" localSheetId="5" hidden="1">'03 Assignments'!$A$1:$R$14</definedName>
    <definedName name="_xlnm._FilterDatabase" localSheetId="6" hidden="1">'04 Leave'!$A$1:$R$6</definedName>
    <definedName name="_xlnm._FilterDatabase" localSheetId="7" hidden="1">'05 Costing'!$A$1:$R$6</definedName>
    <definedName name="_xlnm._FilterDatabase" localSheetId="8" hidden="1">'06 Students and Faculty'!$A$1:$R$12</definedName>
    <definedName name="_xlnm._FilterDatabase" localSheetId="9" hidden="1">'07 Records'!$A$1:$R$6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8">
    <font>
      <name val="Calibri"/>
      <family val="2"/>
      <color theme="1"/>
      <sz val="11"/>
      <scheme val="minor"/>
    </font>
    <font>
      <name val="Arial"/>
      <b val="1"/>
      <color rgb="00CFAE70"/>
      <sz val="10"/>
    </font>
    <font>
      <name val="Arial"/>
      <sz val="10"/>
    </font>
    <font>
      <name val="Arial"/>
      <color rgb="001F4E8C"/>
      <sz val="10"/>
      <u val="single"/>
    </font>
    <font>
      <name val="Arial"/>
      <b val="1"/>
      <sz val="10"/>
    </font>
    <font>
      <name val="Georgia"/>
      <color rgb="001C1C1C"/>
      <sz val="22"/>
    </font>
    <font>
      <name val="Arial"/>
      <i val="1"/>
      <color rgb="005E5B55"/>
      <sz val="10"/>
    </font>
    <font>
      <name val="Arial"/>
      <b val="1"/>
      <color rgb="006B4F17"/>
      <sz val="14"/>
    </font>
  </fonts>
  <fills count="5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F5F3EF"/>
      </patternFill>
    </fill>
    <fill>
      <patternFill patternType="solid">
        <fgColor rgb="00FFFDF7"/>
      </patternFill>
    </fill>
  </fills>
  <borders count="2">
    <border>
      <left/>
      <right/>
      <top/>
      <bottom/>
      <diagonal/>
    </border>
    <border>
      <left style="thin">
        <color rgb="00E0D5C0"/>
      </left>
      <right style="thin">
        <color rgb="00E0D5C0"/>
      </right>
      <top style="thin">
        <color rgb="00E0D5C0"/>
      </top>
      <bottom style="thin">
        <color rgb="00E0D5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9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9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3F0E4"/>
        </patternFill>
      </fill>
    </dxf>
    <dxf>
      <fill>
        <patternFill patternType="solid">
          <fgColor rgb="00FBEFD5"/>
        </patternFill>
      </fill>
    </dxf>
    <dxf>
      <fill>
        <patternFill patternType="solid">
          <fgColor rgb="00F6DADA"/>
        </patternFill>
      </fill>
    </dxf>
    <dxf>
      <fill>
        <patternFill patternType="solid">
          <fgColor rgb="00E4E8F4"/>
        </patternFill>
      </fill>
    </dxf>
    <dxf>
      <font>
        <name val="Arial"/>
        <i val="1"/>
        <color rgb="008A8478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00 Start Here'!A1" TargetMode="External" Id="rId1"/><Relationship Type="http://schemas.openxmlformats.org/officeDocument/2006/relationships/hyperlink" Target="#'01 Hiring'!A1" TargetMode="External" Id="rId2"/><Relationship Type="http://schemas.openxmlformats.org/officeDocument/2006/relationships/hyperlink" Target="#'02 Payroll'!A1" TargetMode="External" Id="rId3"/><Relationship Type="http://schemas.openxmlformats.org/officeDocument/2006/relationships/hyperlink" Target="#'03 Assignments'!A1" TargetMode="External" Id="rId4"/><Relationship Type="http://schemas.openxmlformats.org/officeDocument/2006/relationships/hyperlink" Target="#'04 Leave'!A1" TargetMode="External" Id="rId5"/><Relationship Type="http://schemas.openxmlformats.org/officeDocument/2006/relationships/hyperlink" Target="#'05 Costing'!A1" TargetMode="External" Id="rId6"/><Relationship Type="http://schemas.openxmlformats.org/officeDocument/2006/relationships/hyperlink" Target="#'06 Students and Faculty'!A1" TargetMode="External" Id="rId7"/><Relationship Type="http://schemas.openxmlformats.org/officeDocument/2006/relationships/hyperlink" Target="#'07 Records'!A1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me5231979.github.io/HCM_Academy/courses/hcm-structure/" TargetMode="External" Id="rId1"/><Relationship Type="http://schemas.openxmlformats.org/officeDocument/2006/relationships/hyperlink" Target="https://me5231979.github.io/HCM_Academy/courses/workflow-worklists/" TargetMode="External" Id="rId2"/><Relationship Type="http://schemas.openxmlformats.org/officeDocument/2006/relationships/hyperlink" Target="https://me5231979.github.io/HCM_Academy/courses/quick-actions-person-info/" TargetMode="External" Id="rId3"/><Relationship Type="http://schemas.openxmlformats.org/officeDocument/2006/relationships/hyperlink" Target="https://me5231979.github.io/HCM_Academy/courses/ferpa-for-staff/" TargetMode="External" Id="rId4"/><Relationship Type="http://schemas.openxmlformats.org/officeDocument/2006/relationships/hyperlink" Target="https://me5231979.github.io/HCM_Academy/courses/i9-background-by-worker-type/" TargetMode="External" Id="rId5"/><Relationship Type="http://schemas.openxmlformats.org/officeDocument/2006/relationships/hyperlink" Target="https://me5231979.github.io/HCM_Academy/courses/employee-vs-contractor/" TargetMode="External" Id="rId6"/><Relationship Type="http://schemas.openxmlformats.org/officeDocument/2006/relationships/hyperlink" Target="https://me5231979.github.io/HCM_Academy/courses/data-integrity/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me5231979.github.io/HCM_Academy/courses/job-architecture/" TargetMode="External" Id="rId1"/><Relationship Type="http://schemas.openxmlformats.org/officeDocument/2006/relationships/hyperlink" Target="https://me5231979.github.io/HCM_Academy/courses/new-vs-update-position/" TargetMode="External" Id="rId2"/><Relationship Type="http://schemas.openxmlformats.org/officeDocument/2006/relationships/hyperlink" Target="https://me5231979.github.io/HCM_Academy/courses/create-position/" TargetMode="External" Id="rId3"/><Relationship Type="http://schemas.openxmlformats.org/officeDocument/2006/relationships/hyperlink" Target="https://me5231979.github.io/HCM_Academy/courses/update-position/" TargetMode="External" Id="rId4"/><Relationship Type="http://schemas.openxmlformats.org/officeDocument/2006/relationships/hyperlink" Target="https://me5231979.github.io/HCM_Academy/courses/position-best-practices/" TargetMode="External" Id="rId5"/><Relationship Type="http://schemas.openxmlformats.org/officeDocument/2006/relationships/hyperlink" Target="https://me5231979.github.io/HCM_Academy/courses/compensation-memo/" TargetMode="External" Id="rId6"/><Relationship Type="http://schemas.openxmlformats.org/officeDocument/2006/relationships/hyperlink" Target="https://me5231979.github.io/HCM_Academy/courses/create-requisition/" TargetMode="External" Id="rId7"/><Relationship Type="http://schemas.openxmlformats.org/officeDocument/2006/relationships/hyperlink" Target="https://me5231979.github.io/HCM_Academy/courses/background-checks/" TargetMode="External" Id="rId8"/><Relationship Type="http://schemas.openxmlformats.org/officeDocument/2006/relationships/hyperlink" Target="https://me5231979.github.io/HCM_Academy/courses/convert-pending-worker/" TargetMode="External" Id="rId9"/><Relationship Type="http://schemas.openxmlformats.org/officeDocument/2006/relationships/hyperlink" Target="https://me5231979.github.io/HCM_Academy/courses/rehire-eligibility/" TargetMode="External" Id="rId10"/><Relationship Type="http://schemas.openxmlformats.org/officeDocument/2006/relationships/hyperlink" Target="https://me5231979.github.io/HCM_Academy/courses/hire-staff/" TargetMode="External" Id="rId11"/><Relationship Type="http://schemas.openxmlformats.org/officeDocument/2006/relationships/hyperlink" Target="https://me5231979.github.io/HCM_Academy/courses/hire-interns/" TargetMode="External" Id="rId12"/><Relationship Type="http://schemas.openxmlformats.org/officeDocument/2006/relationships/hyperlink" Target="https://me5231979.github.io/HCM_Academy/courses/hire-non-worker/" TargetMode="External" Id="rId13"/><Relationship Type="http://schemas.openxmlformats.org/officeDocument/2006/relationships/hyperlink" Target="https://me5231979.github.io/HCM_Academy/courses/executive-search/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me5231979.github.io/HCM_Academy/courses/hcm-role-in-payroll/" TargetMode="External" Id="rId1"/><Relationship Type="http://schemas.openxmlformats.org/officeDocument/2006/relationships/hyperlink" Target="https://me5231979.github.io/HCM_Academy/courses/weekly-time-card-check/" TargetMode="External" Id="rId2"/><Relationship Type="http://schemas.openxmlformats.org/officeDocument/2006/relationships/hyperlink" Target="https://me5231979.github.io/HCM_Academy/courses/review-approve-time-cards/" TargetMode="External" Id="rId3"/><Relationship Type="http://schemas.openxmlformats.org/officeDocument/2006/relationships/hyperlink" Target="https://me5231979.github.io/HCM_Academy/courses/enter-pto/" TargetMode="External" Id="rId4"/><Relationship Type="http://schemas.openxmlformats.org/officeDocument/2006/relationships/hyperlink" Target="https://me5231979.github.io/HCM_Academy/courses/ukg-for-managers/" TargetMode="External" Id="rId5"/><Relationship Type="http://schemas.openxmlformats.org/officeDocument/2006/relationships/hyperlink" Target="https://me5231979.github.io/HCM_Academy/courses/ukg-for-employees/" TargetMode="External" Id="rId6"/><Relationship Type="http://schemas.openxmlformats.org/officeDocument/2006/relationships/hyperlink" Target="https://me5231979.github.io/HCM_Academy/courses/off-cycle-payment/" TargetMode="External" Id="rId7"/><Relationship Type="http://schemas.openxmlformats.org/officeDocument/2006/relationships/hyperlink" Target="https://me5231979.github.io/HCM_Academy/courses/change-salary/" TargetMode="External" Id="rId8"/><Relationship Type="http://schemas.openxmlformats.org/officeDocument/2006/relationships/hyperlink" Target="https://me5231979.github.io/HCM_Academy/courses/net-one-time-stipend/" TargetMode="External" Id="rId9"/><Relationship Type="http://schemas.openxmlformats.org/officeDocument/2006/relationships/hyperlink" Target="https://me5231979.github.io/HCM_Academy/courses/sign-on-bonus/" TargetMode="External" Id="rId10"/><Relationship Type="http://schemas.openxmlformats.org/officeDocument/2006/relationships/hyperlink" Target="https://me5231979.github.io/HCM_Academy/courses/staff-supplement/" TargetMode="External" Id="rId11"/><Relationship Type="http://schemas.openxmlformats.org/officeDocument/2006/relationships/hyperlink" Target="https://me5231979.github.io/HCM_Academy/courses/comp-impacts-payroll/" TargetMode="External" Id="rId12"/></Relationships>
</file>

<file path=xl/worksheets/_rels/sheet6.xml.rels><Relationships xmlns="http://schemas.openxmlformats.org/package/2006/relationships"><Relationship Type="http://schemas.openxmlformats.org/officeDocument/2006/relationships/hyperlink" Target="https://me5231979.github.io/HCM_Academy/courses/change-assignment/" TargetMode="External" Id="rId1"/><Relationship Type="http://schemas.openxmlformats.org/officeDocument/2006/relationships/hyperlink" Target="https://me5231979.github.io/HCM_Academy/courses/add-assignment/" TargetMode="External" Id="rId2"/><Relationship Type="http://schemas.openxmlformats.org/officeDocument/2006/relationships/hyperlink" Target="https://me5231979.github.io/HCM_Academy/courses/change-working-hours/" TargetMode="External" Id="rId3"/><Relationship Type="http://schemas.openxmlformats.org/officeDocument/2006/relationships/hyperlink" Target="https://me5231979.github.io/HCM_Academy/courses/direct-reports/" TargetMode="External" Id="rId4"/><Relationship Type="http://schemas.openxmlformats.org/officeDocument/2006/relationships/hyperlink" Target="https://me5231979.github.io/HCM_Academy/courses/promote/" TargetMode="External" Id="rId5"/><Relationship Type="http://schemas.openxmlformats.org/officeDocument/2006/relationships/hyperlink" Target="https://me5231979.github.io/HCM_Academy/courses/transfer-with-requisition/" TargetMode="External" Id="rId6"/><Relationship Type="http://schemas.openxmlformats.org/officeDocument/2006/relationships/hyperlink" Target="https://me5231979.github.io/HCM_Academy/courses/transfer-without-requisition/" TargetMode="External" Id="rId7"/><Relationship Type="http://schemas.openxmlformats.org/officeDocument/2006/relationships/hyperlink" Target="https://me5231979.github.io/HCM_Academy/courses/voluntary-termination/" TargetMode="External" Id="rId8"/><Relationship Type="http://schemas.openxmlformats.org/officeDocument/2006/relationships/hyperlink" Target="https://me5231979.github.io/HCM_Academy/courses/reduction-in-force/" TargetMode="External" Id="rId9"/><Relationship Type="http://schemas.openxmlformats.org/officeDocument/2006/relationships/hyperlink" Target="https://me5231979.github.io/HCM_Academy/courses/involuntary-termination/" TargetMode="External" Id="rId10"/><Relationship Type="http://schemas.openxmlformats.org/officeDocument/2006/relationships/hyperlink" Target="https://me5231979.github.io/HCM_Academy/courses/end-assignment-vs-terminate/" TargetMode="External" Id="rId11"/><Relationship Type="http://schemas.openxmlformats.org/officeDocument/2006/relationships/hyperlink" Target="https://me5231979.github.io/HCM_Academy/courses/terminate-multiple-assignments/" TargetMode="External" Id="rId12"/><Relationship Type="http://schemas.openxmlformats.org/officeDocument/2006/relationships/hyperlink" Target="https://me5231979.github.io/HCM_Academy/courses/offboarding-requirements/" TargetMode="External" Id="rId13"/></Relationships>
</file>

<file path=xl/worksheets/_rels/sheet7.xml.rels><Relationships xmlns="http://schemas.openxmlformats.org/package/2006/relationships"><Relationship Type="http://schemas.openxmlformats.org/officeDocument/2006/relationships/hyperlink" Target="https://me5231979.github.io/HCM_Academy/courses/fmla-tmla-transactions/" TargetMode="External" Id="rId1"/><Relationship Type="http://schemas.openxmlformats.org/officeDocument/2006/relationships/hyperlink" Target="https://me5231979.github.io/HCM_Academy/courses/leave-workflows/" TargetMode="External" Id="rId2"/><Relationship Type="http://schemas.openxmlformats.org/officeDocument/2006/relationships/hyperlink" Target="https://me5231979.github.io/HCM_Academy/courses/exempt-time-off/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https://me5231979.github.io/HCM_Academy/courses/costing-fundamentals/" TargetMode="External" Id="rId1"/><Relationship Type="http://schemas.openxmlformats.org/officeDocument/2006/relationships/hyperlink" Target="https://me5231979.github.io/HCM_Academy/courses/costing-impacts/" TargetMode="External" Id="rId2"/><Relationship Type="http://schemas.openxmlformats.org/officeDocument/2006/relationships/hyperlink" Target="https://me5231979.github.io/HCM_Academy/courses/when-to-update-costing/" TargetMode="External" Id="rId3"/><Relationship Type="http://schemas.openxmlformats.org/officeDocument/2006/relationships/hyperlink" Target="https://me5231979.github.io/HCM_Academy/courses/enter-edit-costing/" TargetMode="External" Id="rId4"/><Relationship Type="http://schemas.openxmlformats.org/officeDocument/2006/relationships/hyperlink" Target="https://me5231979.github.io/HCM_Academy/courses/change-existing-costing/" TargetMode="External" Id="rId5"/></Relationships>
</file>

<file path=xl/worksheets/_rels/sheet9.xml.rels><Relationships xmlns="http://schemas.openxmlformats.org/package/2006/relationships"><Relationship Type="http://schemas.openxmlformats.org/officeDocument/2006/relationships/hyperlink" Target="https://me5231979.github.io/HCM_Academy/courses/student-hiring-process/" TargetMode="External" Id="rId1"/><Relationship Type="http://schemas.openxmlformats.org/officeDocument/2006/relationships/hyperlink" Target="https://me5231979.github.io/HCM_Academy/courses/student-workers/" TargetMode="External" Id="rId2"/><Relationship Type="http://schemas.openxmlformats.org/officeDocument/2006/relationships/hyperlink" Target="https://me5231979.github.io/HCM_Academy/courses/work-relationship-vs-assignment/" TargetMode="External" Id="rId3"/><Relationship Type="http://schemas.openxmlformats.org/officeDocument/2006/relationships/hyperlink" Target="https://me5231979.github.io/HCM_Academy/courses/student-faculty-changes/" TargetMode="Externa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me5231979.github.io/HCM_Academy/courses/add-document-record/" TargetMode="External" Id="rId1"/><Relationship Type="http://schemas.openxmlformats.org/officeDocument/2006/relationships/hyperlink" Target="https://me5231979.github.io/HCM_Academy/courses/bi-intro-playbook/" TargetMode="External" Id="rId2"/><Relationship Type="http://schemas.openxmlformats.org/officeDocument/2006/relationships/hyperlink" Target="https://me5231979.github.io/HCM_Academy/courses/reporting-101/" TargetMode="External" Id="rId3"/><Relationship Type="http://schemas.openxmlformats.org/officeDocument/2006/relationships/hyperlink" Target="https://me5231979.github.io/HCM_Academy/courses/reporting-201/" TargetMode="External" Id="rId4"/><Relationship Type="http://schemas.openxmlformats.org/officeDocument/2006/relationships/hyperlink" Target="https://me5231979.github.io/HCM_Academy/courses/reporting-301/" TargetMode="External" Id="rId5"/></Relationships>
</file>

<file path=xl/worksheets/sheet1.xml><?xml version="1.0" encoding="utf-8"?>
<worksheet xmlns="http://schemas.openxmlformats.org/spreadsheetml/2006/main">
  <sheetPr>
    <tabColor rgb="001C1C1C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HCM Academy section audit</t>
        </is>
      </c>
    </row>
    <row r="2">
      <c r="B2" s="2" t="inlineStr">
        <is>
          <t>Sign up for a section, then audit every course topic in it. V.01 draft.</t>
        </is>
      </c>
    </row>
    <row r="4" ht="30" customHeight="1">
      <c r="A4" s="3" t="inlineStr">
        <is>
          <t>1</t>
        </is>
      </c>
      <c r="B4" s="4" t="inlineStr">
        <is>
          <t>Sign up. On the Sign-up tab, put your name and email in Reviewer 1 or Reviewer 2 for a section that still has an open slot (highlighted). Two reviewers per section, at most.</t>
        </is>
      </c>
    </row>
    <row r="5" ht="30" customHeight="1">
      <c r="A5" s="3" t="inlineStr">
        <is>
          <t>2</t>
        </is>
      </c>
      <c r="B5" s="4" t="inlineStr">
        <is>
          <t>Set a target date and change Audit status to In progress.</t>
        </is>
      </c>
    </row>
    <row r="6" ht="30" customHeight="1">
      <c r="A6" s="3" t="inlineStr">
        <is>
          <t>3</t>
        </is>
      </c>
      <c r="B6" s="4" t="inlineStr">
        <is>
          <t>Open your section's tab (Go to section link). For each course topic, open the course (Link), then fill in the cream columns: your name, a Decision (Keep, Change, Remove, Merge), Merge with (if Merge), whether the steps, job aid, and quiz are accurate, and your notes.</t>
        </is>
      </c>
    </row>
    <row r="7" ht="30" customHeight="1">
      <c r="A7" s="3" t="inlineStr">
        <is>
          <t>4</t>
        </is>
      </c>
      <c r="B7" s="4" t="inlineStr">
        <is>
          <t>'Open items to confirm' lists what we already know needs a Vanderbilt check. Answer those in your notes when you can.</t>
        </is>
      </c>
    </row>
    <row r="8" ht="30" customHeight="1">
      <c r="A8" s="3" t="inlineStr">
        <is>
          <t>5</t>
        </is>
      </c>
      <c r="B8" s="4" t="inlineStr">
        <is>
          <t>When every row is done, pick a Section verdict on the Sign-up tab and set Audit status to Done.</t>
        </is>
      </c>
    </row>
    <row r="9" ht="10" customHeight="1">
      <c r="A9" s="3" t="inlineStr"/>
      <c r="B9" s="4" t="inlineStr"/>
    </row>
    <row r="10" ht="30" customHeight="1">
      <c r="A10" s="3" t="inlineStr"/>
      <c r="B10" s="4" t="inlineStr">
        <is>
          <t>Courses marked 'Oracle docs, pending SME review' were built from Oracle documentation and official sources. Check them closely against how Vanderbilt does the work.</t>
        </is>
      </c>
    </row>
    <row r="11" ht="30" customHeight="1">
      <c r="A11" s="3" t="inlineStr"/>
      <c r="B11" s="4" t="inlineStr">
        <is>
          <t>Coming soon rows have no course yet. Use Notes to say what the course should cover or who the source should be.</t>
        </is>
      </c>
    </row>
    <row r="12" ht="30" customHeight="1">
      <c r="A12" s="3" t="inlineStr"/>
      <c r="B12" s="4" t="inlineStr">
        <is>
          <t>Gray columns are filled in for you. PCB status and PCB response are for the PCB team.</t>
        </is>
      </c>
    </row>
    <row r="13" ht="30" customHeight="1">
      <c r="A13" s="3" t="inlineStr"/>
      <c r="B13" s="4" t="inlineStr">
        <is>
          <t>Site: https://me5231979.github.io/HCM_Academy/   ·   Playbook: https://me5231979.github.io/HCM_Academy/playbook/HCM_Playbook.pdf   ·   Questions: pcb@vanderbilt.edu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C1C1C"/>
    <outlinePr summaryBelow="1" summaryRight="1"/>
    <pageSetUpPr fitToPage="1"/>
  </sheetPr>
  <dimension ref="A1:N9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3" customWidth="1" min="3" max="3"/>
    <col width="11" customWidth="1" min="4" max="4"/>
    <col width="18" customWidth="1" min="5" max="5"/>
    <col width="24" customWidth="1" min="6" max="6"/>
    <col width="18" customWidth="1" min="7" max="7"/>
    <col width="24" customWidth="1" min="8" max="8"/>
    <col width="12" customWidth="1" min="9" max="9"/>
    <col width="13" customWidth="1" min="10" max="10"/>
    <col width="11" customWidth="1" min="11" max="11"/>
    <col width="20" customWidth="1" min="12" max="12"/>
    <col width="40" customWidth="1" min="13" max="13"/>
    <col width="12" customWidth="1" min="14" max="14"/>
  </cols>
  <sheetData>
    <row r="1" ht="34" customHeight="1">
      <c r="A1" s="5" t="inlineStr">
        <is>
          <t>Section</t>
        </is>
      </c>
      <c r="B1" s="5" t="inlineStr">
        <is>
          <t>Course topics</t>
        </is>
      </c>
      <c r="C1" s="5" t="inlineStr">
        <is>
          <t>Live / coming soon</t>
        </is>
      </c>
      <c r="D1" s="5" t="inlineStr">
        <is>
          <t>Est. review time</t>
        </is>
      </c>
      <c r="E1" s="5" t="inlineStr">
        <is>
          <t>Reviewer 1</t>
        </is>
      </c>
      <c r="F1" s="5" t="inlineStr">
        <is>
          <t>Reviewer 1 email</t>
        </is>
      </c>
      <c r="G1" s="5" t="inlineStr">
        <is>
          <t>Reviewer 2</t>
        </is>
      </c>
      <c r="H1" s="5" t="inlineStr">
        <is>
          <t>Reviewer 2 email</t>
        </is>
      </c>
      <c r="I1" s="5" t="inlineStr">
        <is>
          <t>Target date</t>
        </is>
      </c>
      <c r="J1" s="5" t="inlineStr">
        <is>
          <t>Audit status</t>
        </is>
      </c>
      <c r="K1" s="5" t="inlineStr">
        <is>
          <t>Audited so far</t>
        </is>
      </c>
      <c r="L1" s="5" t="inlineStr">
        <is>
          <t>Section verdict</t>
        </is>
      </c>
      <c r="M1" s="5" t="inlineStr">
        <is>
          <t>Section notes</t>
        </is>
      </c>
      <c r="N1" s="5" t="inlineStr">
        <is>
          <t>Go to section</t>
        </is>
      </c>
    </row>
    <row r="2">
      <c r="A2" s="6" t="inlineStr">
        <is>
          <t>00 Start Here: HCM Foundations</t>
        </is>
      </c>
      <c r="B2" s="6" t="n">
        <v>9</v>
      </c>
      <c r="C2" s="6" t="inlineStr">
        <is>
          <t>7 / 2</t>
        </is>
      </c>
      <c r="D2" s="6" t="inlineStr">
        <is>
          <t>about 55 min</t>
        </is>
      </c>
      <c r="E2" s="7" t="inlineStr"/>
      <c r="F2" s="7" t="inlineStr"/>
      <c r="G2" s="7" t="inlineStr"/>
      <c r="H2" s="7" t="inlineStr"/>
      <c r="I2" s="8" t="inlineStr"/>
      <c r="J2" s="7" t="inlineStr">
        <is>
          <t>Not started</t>
        </is>
      </c>
      <c r="K2" s="9">
        <f>IFERROR(COUNTA('00 Start Here'!J2:J10)/9,0)</f>
        <v/>
      </c>
      <c r="L2" s="7" t="inlineStr"/>
      <c r="M2" s="7" t="inlineStr"/>
      <c r="N2" s="10" t="inlineStr">
        <is>
          <t>Open tab</t>
        </is>
      </c>
    </row>
    <row r="3">
      <c r="A3" s="6" t="inlineStr">
        <is>
          <t>01 Positions, Recruitment &amp; Hiring</t>
        </is>
      </c>
      <c r="B3" s="6" t="n">
        <v>19</v>
      </c>
      <c r="C3" s="6" t="inlineStr">
        <is>
          <t>14 / 5</t>
        </is>
      </c>
      <c r="D3" s="6" t="inlineStr">
        <is>
          <t>about 115 min</t>
        </is>
      </c>
      <c r="E3" s="7" t="inlineStr"/>
      <c r="F3" s="7" t="inlineStr"/>
      <c r="G3" s="7" t="inlineStr"/>
      <c r="H3" s="7" t="inlineStr"/>
      <c r="I3" s="8" t="inlineStr"/>
      <c r="J3" s="7" t="inlineStr">
        <is>
          <t>Not started</t>
        </is>
      </c>
      <c r="K3" s="9">
        <f>IFERROR(COUNTA('01 Hiring'!J2:J20)/19,0)</f>
        <v/>
      </c>
      <c r="L3" s="7" t="inlineStr"/>
      <c r="M3" s="7" t="inlineStr"/>
      <c r="N3" s="10" t="inlineStr">
        <is>
          <t>Open tab</t>
        </is>
      </c>
    </row>
    <row r="4">
      <c r="A4" s="6" t="inlineStr">
        <is>
          <t>02 Payroll &amp; Timecards</t>
        </is>
      </c>
      <c r="B4" s="6" t="n">
        <v>12</v>
      </c>
      <c r="C4" s="6" t="inlineStr">
        <is>
          <t>12 / 0</t>
        </is>
      </c>
      <c r="D4" s="6" t="inlineStr">
        <is>
          <t>about 110 min</t>
        </is>
      </c>
      <c r="E4" s="7" t="inlineStr"/>
      <c r="F4" s="7" t="inlineStr"/>
      <c r="G4" s="7" t="inlineStr"/>
      <c r="H4" s="7" t="inlineStr"/>
      <c r="I4" s="8" t="inlineStr"/>
      <c r="J4" s="7" t="inlineStr">
        <is>
          <t>Not started</t>
        </is>
      </c>
      <c r="K4" s="9">
        <f>IFERROR(COUNTA('02 Payroll'!J2:J13)/12,0)</f>
        <v/>
      </c>
      <c r="L4" s="7" t="inlineStr"/>
      <c r="M4" s="7" t="inlineStr"/>
      <c r="N4" s="10" t="inlineStr">
        <is>
          <t>Open tab</t>
        </is>
      </c>
    </row>
    <row r="5">
      <c r="A5" s="6" t="inlineStr">
        <is>
          <t>03 Assignments</t>
        </is>
      </c>
      <c r="B5" s="6" t="n">
        <v>13</v>
      </c>
      <c r="C5" s="6" t="inlineStr">
        <is>
          <t>13 / 0</t>
        </is>
      </c>
      <c r="D5" s="6" t="inlineStr">
        <is>
          <t>about 100 min</t>
        </is>
      </c>
      <c r="E5" s="7" t="inlineStr"/>
      <c r="F5" s="7" t="inlineStr"/>
      <c r="G5" s="7" t="inlineStr"/>
      <c r="H5" s="7" t="inlineStr"/>
      <c r="I5" s="8" t="inlineStr"/>
      <c r="J5" s="7" t="inlineStr">
        <is>
          <t>Not started</t>
        </is>
      </c>
      <c r="K5" s="9">
        <f>IFERROR(COUNTA('03 Assignments'!J2:J14)/13,0)</f>
        <v/>
      </c>
      <c r="L5" s="7" t="inlineStr"/>
      <c r="M5" s="7" t="inlineStr"/>
      <c r="N5" s="10" t="inlineStr">
        <is>
          <t>Open tab</t>
        </is>
      </c>
    </row>
    <row r="6">
      <c r="A6" s="6" t="inlineStr">
        <is>
          <t>04 Leave Management</t>
        </is>
      </c>
      <c r="B6" s="6" t="n">
        <v>5</v>
      </c>
      <c r="C6" s="6" t="inlineStr">
        <is>
          <t>3 / 2</t>
        </is>
      </c>
      <c r="D6" s="6" t="inlineStr">
        <is>
          <t>about 25 min</t>
        </is>
      </c>
      <c r="E6" s="7" t="inlineStr"/>
      <c r="F6" s="7" t="inlineStr"/>
      <c r="G6" s="7" t="inlineStr"/>
      <c r="H6" s="7" t="inlineStr"/>
      <c r="I6" s="8" t="inlineStr"/>
      <c r="J6" s="7" t="inlineStr">
        <is>
          <t>Not started</t>
        </is>
      </c>
      <c r="K6" s="9">
        <f>IFERROR(COUNTA('04 Leave'!J2:J6)/5,0)</f>
        <v/>
      </c>
      <c r="L6" s="7" t="inlineStr"/>
      <c r="M6" s="7" t="inlineStr"/>
      <c r="N6" s="10" t="inlineStr">
        <is>
          <t>Open tab</t>
        </is>
      </c>
    </row>
    <row r="7">
      <c r="A7" s="6" t="inlineStr">
        <is>
          <t>05 Costing Management</t>
        </is>
      </c>
      <c r="B7" s="6" t="n">
        <v>5</v>
      </c>
      <c r="C7" s="6" t="inlineStr">
        <is>
          <t>5 / 0</t>
        </is>
      </c>
      <c r="D7" s="6" t="inlineStr">
        <is>
          <t>about 60 min</t>
        </is>
      </c>
      <c r="E7" s="7" t="inlineStr"/>
      <c r="F7" s="7" t="inlineStr"/>
      <c r="G7" s="7" t="inlineStr"/>
      <c r="H7" s="7" t="inlineStr"/>
      <c r="I7" s="8" t="inlineStr"/>
      <c r="J7" s="7" t="inlineStr">
        <is>
          <t>Not started</t>
        </is>
      </c>
      <c r="K7" s="9">
        <f>IFERROR(COUNTA('05 Costing'!J2:J6)/5,0)</f>
        <v/>
      </c>
      <c r="L7" s="7" t="inlineStr"/>
      <c r="M7" s="7" t="inlineStr"/>
      <c r="N7" s="10" t="inlineStr">
        <is>
          <t>Open tab</t>
        </is>
      </c>
    </row>
    <row r="8">
      <c r="A8" s="6" t="inlineStr">
        <is>
          <t>06 Student &amp; Faculty Hiring and Assignments</t>
        </is>
      </c>
      <c r="B8" s="6" t="n">
        <v>11</v>
      </c>
      <c r="C8" s="6" t="inlineStr">
        <is>
          <t>4 / 7</t>
        </is>
      </c>
      <c r="D8" s="6" t="inlineStr">
        <is>
          <t>about 30 min</t>
        </is>
      </c>
      <c r="E8" s="7" t="inlineStr"/>
      <c r="F8" s="7" t="inlineStr"/>
      <c r="G8" s="7" t="inlineStr"/>
      <c r="H8" s="7" t="inlineStr"/>
      <c r="I8" s="8" t="inlineStr"/>
      <c r="J8" s="7" t="inlineStr">
        <is>
          <t>Not started</t>
        </is>
      </c>
      <c r="K8" s="9">
        <f>IFERROR(COUNTA('06 Students and Faculty'!J2:J12)/11,0)</f>
        <v/>
      </c>
      <c r="L8" s="7" t="inlineStr"/>
      <c r="M8" s="7" t="inlineStr"/>
      <c r="N8" s="10" t="inlineStr">
        <is>
          <t>Open tab</t>
        </is>
      </c>
    </row>
    <row r="9">
      <c r="A9" s="6" t="inlineStr">
        <is>
          <t>07 Document Records &amp; Reporting</t>
        </is>
      </c>
      <c r="B9" s="6" t="n">
        <v>5</v>
      </c>
      <c r="C9" s="6" t="inlineStr">
        <is>
          <t>5 / 0</t>
        </is>
      </c>
      <c r="D9" s="6" t="inlineStr">
        <is>
          <t>about 45 min</t>
        </is>
      </c>
      <c r="E9" s="7" t="inlineStr"/>
      <c r="F9" s="7" t="inlineStr"/>
      <c r="G9" s="7" t="inlineStr"/>
      <c r="H9" s="7" t="inlineStr"/>
      <c r="I9" s="8" t="inlineStr"/>
      <c r="J9" s="7" t="inlineStr">
        <is>
          <t>Not started</t>
        </is>
      </c>
      <c r="K9" s="9">
        <f>IFERROR(COUNTA('07 Records'!J2:J6)/5,0)</f>
        <v/>
      </c>
      <c r="L9" s="7" t="inlineStr"/>
      <c r="M9" s="7" t="inlineStr"/>
      <c r="N9" s="10" t="inlineStr">
        <is>
          <t>Open tab</t>
        </is>
      </c>
    </row>
  </sheetData>
  <conditionalFormatting sqref="J2:J9">
    <cfRule type="cellIs" priority="1" operator="equal" dxfId="0">
      <formula>"Done"</formula>
    </cfRule>
  </conditionalFormatting>
  <conditionalFormatting sqref="E2:E9">
    <cfRule type="expression" priority="2" dxfId="1">
      <formula>LEN(E2)=0</formula>
    </cfRule>
  </conditionalFormatting>
  <dataValidations count="2">
    <dataValidation sqref="J2:J9" showDropDown="0" showInputMessage="0" showErrorMessage="1" allowBlank="1" error="Pick a value from the list." type="list">
      <formula1>=Lists!$E$1:$E$3</formula1>
    </dataValidation>
    <dataValidation sqref="L2:L9" showDropDown="0" showInputMessage="0" showErrorMessage="1" allowBlank="1" error="Pick a value from the list." type="list">
      <formula1>=Lists!$F$1:$F$6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FAE70"/>
    <outlinePr summaryBelow="1" summaryRight="1"/>
    <pageSetUpPr fitToPage="1"/>
  </sheetPr>
  <dimension ref="A1:R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2" customWidth="1" min="4" max="4"/>
    <col width="22" customWidth="1" min="5" max="5"/>
    <col width="9" customWidth="1" min="6" max="6"/>
    <col width="8" customWidth="1" min="7" max="7"/>
    <col width="44" customWidth="1" min="8" max="8"/>
    <col width="14" customWidth="1" min="9" max="9"/>
    <col width="12" customWidth="1" min="10" max="10"/>
    <col width="24" customWidth="1" min="11" max="11"/>
    <col width="14" customWidth="1" min="12" max="12"/>
    <col width="13" customWidth="1" min="13" max="13"/>
    <col width="13" customWidth="1" min="14" max="14"/>
    <col width="50" customWidth="1" min="15" max="15"/>
    <col width="10" customWidth="1" min="16" max="16"/>
    <col width="12" customWidth="1" min="17" max="17"/>
    <col width="34" customWidth="1" min="18" max="18"/>
  </cols>
  <sheetData>
    <row r="1" ht="34" customHeight="1">
      <c r="A1" s="5" t="inlineStr">
        <is>
          <t>#</t>
        </is>
      </c>
      <c r="B1" s="5" t="inlineStr">
        <is>
          <t>Subtopic</t>
        </is>
      </c>
      <c r="C1" s="5" t="inlineStr">
        <is>
          <t>Course topic</t>
        </is>
      </c>
      <c r="D1" s="5" t="inlineStr">
        <is>
          <t>Course status</t>
        </is>
      </c>
      <c r="E1" s="5" t="inlineStr">
        <is>
          <t>Source</t>
        </is>
      </c>
      <c r="F1" s="5" t="inlineStr">
        <is>
          <t>Link</t>
        </is>
      </c>
      <c r="G1" s="5" t="inlineStr">
        <is>
          <t>Time</t>
        </is>
      </c>
      <c r="H1" s="5" t="inlineStr">
        <is>
          <t>Open items to confirm</t>
        </is>
      </c>
      <c r="I1" s="5" t="inlineStr">
        <is>
          <t>Reviewer</t>
        </is>
      </c>
      <c r="J1" s="5" t="inlineStr">
        <is>
          <t>Decision</t>
        </is>
      </c>
      <c r="K1" s="5" t="inlineStr">
        <is>
          <t>Merge with</t>
        </is>
      </c>
      <c r="L1" s="5" t="inlineStr">
        <is>
          <t>Steps accurate?</t>
        </is>
      </c>
      <c r="M1" s="5" t="inlineStr">
        <is>
          <t>Job aid OK?</t>
        </is>
      </c>
      <c r="N1" s="5" t="inlineStr">
        <is>
          <t>Quiz OK?</t>
        </is>
      </c>
      <c r="O1" s="5" t="inlineStr">
        <is>
          <t>Notes or changes needed</t>
        </is>
      </c>
      <c r="P1" s="5" t="inlineStr">
        <is>
          <t>Priority</t>
        </is>
      </c>
      <c r="Q1" s="5" t="inlineStr">
        <is>
          <t>PCB status</t>
        </is>
      </c>
      <c r="R1" s="5" t="inlineStr">
        <is>
          <t>PCB response</t>
        </is>
      </c>
    </row>
    <row r="2">
      <c r="A2" s="6" t="n">
        <v>1</v>
      </c>
      <c r="B2" s="6" t="inlineStr">
        <is>
          <t>Start Here: HCM Foundations</t>
        </is>
      </c>
      <c r="C2" s="6" t="inlineStr">
        <is>
          <t>HCM Structure and Key Concepts</t>
        </is>
      </c>
      <c r="D2" s="6" t="inlineStr">
        <is>
          <t>Live</t>
        </is>
      </c>
      <c r="E2" s="6" t="inlineStr">
        <is>
          <t>Oracle docs, pending SME review</t>
        </is>
      </c>
      <c r="F2" s="10" t="inlineStr">
        <is>
          <t>Open</t>
        </is>
      </c>
      <c r="G2" s="6" t="inlineStr">
        <is>
          <t>6 min</t>
        </is>
      </c>
      <c r="H2" s="6" t="inlineStr">
        <is>
          <t>- Confirm which person types and work relationship types Vanderbilt uses and what each one means for pay.
- Which person types and work relationship types Vanderbilt uses (Employee, Nonworker, Contingent Worker, Pending Worker) and what each means for pay
- Whether 'work unit' is the on-screen label for department at Vanderbilt
- Vanderbilt's employment model (single vs. multiple assignments) and legal employer name(s)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6" t="inlineStr">
        <is>
          <t>Open</t>
        </is>
      </c>
      <c r="R2" s="6" t="inlineStr"/>
    </row>
    <row r="3">
      <c r="A3" s="6" t="n">
        <v>2</v>
      </c>
      <c r="B3" s="6" t="inlineStr">
        <is>
          <t>Start Here: HCM Foundations</t>
        </is>
      </c>
      <c r="C3" s="6" t="inlineStr">
        <is>
          <t>HCM Workflow and Worklists</t>
        </is>
      </c>
      <c r="D3" s="6" t="inlineStr">
        <is>
          <t>Live</t>
        </is>
      </c>
      <c r="E3" s="6" t="inlineStr">
        <is>
          <t>Oracle docs, pending SME review</t>
        </is>
      </c>
      <c r="F3" s="10" t="inlineStr">
        <is>
          <t>Open</t>
        </is>
      </c>
      <c r="G3" s="6" t="inlineStr">
        <is>
          <t>5 min</t>
        </is>
      </c>
      <c r="H3" s="6" t="inlineStr">
        <is>
          <t>- Confirm Vanderbilt's approval chains by transaction type, whether delegation is enabled for HCMs, and the exact action labels on screen.
- Exact action labels on the Redwood notification (Approve, Reject, Request More Information, Withdraw, Resubmit, Send back)
- Whether HCMs can withdraw their own transactions and delegate approvals in Vanderbilt's configuration
- Vanderbilt approval chains by transaction type</t>
        </is>
      </c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6" t="inlineStr">
        <is>
          <t>Open</t>
        </is>
      </c>
      <c r="R3" s="6" t="inlineStr"/>
    </row>
    <row r="4">
      <c r="A4" s="6" t="n">
        <v>3</v>
      </c>
      <c r="B4" s="6" t="inlineStr">
        <is>
          <t>Start Here: HCM Foundations</t>
        </is>
      </c>
      <c r="C4" s="6" t="inlineStr">
        <is>
          <t>Quick Actions and Viewing Person and Employment Information</t>
        </is>
      </c>
      <c r="D4" s="6" t="inlineStr">
        <is>
          <t>Live</t>
        </is>
      </c>
      <c r="E4" s="6" t="inlineStr">
        <is>
          <t>Oracle docs, pending SME review</t>
        </is>
      </c>
      <c r="F4" s="10" t="inlineStr">
        <is>
          <t>Open</t>
        </is>
      </c>
      <c r="G4" s="6" t="inlineStr">
        <is>
          <t>5 min</t>
        </is>
      </c>
      <c r="H4" s="6" t="inlineStr">
        <is>
          <t>- Confirm how HCMs view a record as of a past or future date on the Redwood Employment Info page at Vanderbilt.
- How to view a record as of a past or future date on Redwood Employment Info
- That Employment Info search accepts person number, and what columns the results show
- That clicking a history entry opens View Employment Details in Vanderbilt's release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6" t="inlineStr">
        <is>
          <t>Open</t>
        </is>
      </c>
      <c r="R4" s="6" t="inlineStr"/>
    </row>
    <row r="5">
      <c r="A5" s="6" t="n">
        <v>4</v>
      </c>
      <c r="B5" s="6" t="inlineStr">
        <is>
          <t>Start Here: HCM Foundations</t>
        </is>
      </c>
      <c r="C5" s="6" t="inlineStr">
        <is>
          <t>The Shared Administrative Calendar</t>
        </is>
      </c>
      <c r="D5" s="6" t="inlineStr">
        <is>
          <t>Coming soon</t>
        </is>
      </c>
      <c r="E5" s="6" t="inlineStr">
        <is>
          <t>No content yet</t>
        </is>
      </c>
      <c r="F5" s="6" t="inlineStr"/>
      <c r="G5" s="6" t="inlineStr">
        <is>
          <t>10 min</t>
        </is>
      </c>
      <c r="H5" s="6" t="inlineStr">
        <is>
          <t>Needs a source: SME session, guide, or recording.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6" t="inlineStr">
        <is>
          <t>Open</t>
        </is>
      </c>
      <c r="R5" s="6" t="inlineStr"/>
    </row>
    <row r="6">
      <c r="A6" s="6" t="n">
        <v>5</v>
      </c>
      <c r="B6" s="6" t="inlineStr">
        <is>
          <t>Start Here: HCM Foundations</t>
        </is>
      </c>
      <c r="C6" s="6" t="inlineStr">
        <is>
          <t>Confidentiality and Secure Access Agreement (annual)</t>
        </is>
      </c>
      <c r="D6" s="6" t="inlineStr">
        <is>
          <t>Coming soon</t>
        </is>
      </c>
      <c r="E6" s="6" t="inlineStr">
        <is>
          <t>No content yet</t>
        </is>
      </c>
      <c r="F6" s="6" t="inlineStr"/>
      <c r="G6" s="6" t="inlineStr">
        <is>
          <t>10 min</t>
        </is>
      </c>
      <c r="H6" s="6" t="inlineStr">
        <is>
          <t>Needs a source: SME session, guide, or recording.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6" t="inlineStr">
        <is>
          <t>Open</t>
        </is>
      </c>
      <c r="R6" s="6" t="inlineStr"/>
    </row>
    <row r="7">
      <c r="A7" s="6" t="n">
        <v>6</v>
      </c>
      <c r="B7" s="6" t="inlineStr">
        <is>
          <t>Start Here: HCM Foundations</t>
        </is>
      </c>
      <c r="C7" s="6" t="inlineStr">
        <is>
          <t>FERPA Tutorial for Staff</t>
        </is>
      </c>
      <c r="D7" s="6" t="inlineStr">
        <is>
          <t>Live</t>
        </is>
      </c>
      <c r="E7" s="6" t="inlineStr">
        <is>
          <t>Oracle docs, pending SME review</t>
        </is>
      </c>
      <c r="F7" s="10" t="inlineStr">
        <is>
          <t>Open</t>
        </is>
      </c>
      <c r="G7" s="6" t="inlineStr">
        <is>
          <t>6 min</t>
        </is>
      </c>
      <c r="H7" s="6" t="inlineStr">
        <is>
          <t>- Confirm Vanderbilt's FERPA office or Registrar contact, the required FERPA training, and how student worker records are classified.
- Vanderbilt FERPA office or Registrar contact and required FERPA training for HCMs
- How Vanderbilt classifies student worker employment records under FERPA
- Vanderbilt's designated directory information categories</t>
        </is>
      </c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6" t="inlineStr">
        <is>
          <t>Open</t>
        </is>
      </c>
      <c r="R7" s="6" t="inlineStr"/>
    </row>
    <row r="8">
      <c r="A8" s="6" t="n">
        <v>7</v>
      </c>
      <c r="B8" s="6" t="inlineStr">
        <is>
          <t>Start Here: HCM Foundations</t>
        </is>
      </c>
      <c r="C8" s="6" t="inlineStr">
        <is>
          <t>I-9 and background check requirements by worker type</t>
        </is>
      </c>
      <c r="D8" s="6" t="inlineStr">
        <is>
          <t>Live</t>
        </is>
      </c>
      <c r="E8" s="6" t="inlineStr">
        <is>
          <t>Oracle docs, pending SME review</t>
        </is>
      </c>
      <c r="F8" s="10" t="inlineStr">
        <is>
          <t>Open</t>
        </is>
      </c>
      <c r="G8" s="6" t="inlineStr">
        <is>
          <t>5 min</t>
        </is>
      </c>
      <c r="H8" s="6" t="inlineStr">
        <is>
          <t>- Confirm who completes Section 2 of the I-9 at Vanderbilt, in which system, and how remote hires are handled.
- Who completes I-9 Section 2 at Vanderbilt and in which system (and whether E-Verify is used)
- How remote hires complete the I-9
- Formstack request link and which populations use it</t>
        </is>
      </c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6" t="inlineStr">
        <is>
          <t>Open</t>
        </is>
      </c>
      <c r="R8" s="6" t="inlineStr"/>
    </row>
    <row r="9">
      <c r="A9" s="6" t="n">
        <v>8</v>
      </c>
      <c r="B9" s="6" t="inlineStr">
        <is>
          <t>Start Here: HCM Foundations</t>
        </is>
      </c>
      <c r="C9" s="6" t="inlineStr">
        <is>
          <t>Employee or independent contractor?</t>
        </is>
      </c>
      <c r="D9" s="6" t="inlineStr">
        <is>
          <t>Live</t>
        </is>
      </c>
      <c r="E9" s="6" t="inlineStr">
        <is>
          <t>Oracle docs, pending SME review</t>
        </is>
      </c>
      <c r="F9" s="10" t="inlineStr">
        <is>
          <t>Open</t>
        </is>
      </c>
      <c r="G9" s="6" t="inlineStr">
        <is>
          <t>6 min</t>
        </is>
      </c>
      <c r="H9" s="6" t="inlineStr">
        <is>
          <t>- Confirm Vanderbilt's process and contact for worker classification questions.
- Vanderbilt policy on paying students for services (stipend, invoice, gift card)
- Who applies the student FICA exception (payroll)</t>
        </is>
      </c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inlineStr">
        <is>
          <t>Open</t>
        </is>
      </c>
      <c r="R9" s="6" t="inlineStr"/>
    </row>
    <row r="10">
      <c r="A10" s="6" t="n">
        <v>9</v>
      </c>
      <c r="B10" s="6" t="inlineStr">
        <is>
          <t>Start Here: HCM Foundations</t>
        </is>
      </c>
      <c r="C10" s="6" t="inlineStr">
        <is>
          <t>Data integrity: bad data in, bad data out</t>
        </is>
      </c>
      <c r="D10" s="6" t="inlineStr">
        <is>
          <t>Live</t>
        </is>
      </c>
      <c r="E10" s="6" t="inlineStr">
        <is>
          <t>Oracle docs, pending SME review</t>
        </is>
      </c>
      <c r="F10" s="10" t="inlineStr">
        <is>
          <t>Open</t>
        </is>
      </c>
      <c r="G10" s="6" t="inlineStr">
        <is>
          <t>5 min</t>
        </is>
      </c>
      <c r="H10" s="6" t="inlineStr">
        <is>
          <t>- Confirm which data errors Vanderbilt sees most often and who to contact for corrections.
- Which position attributes Vanderbilt synchronizes to assignments
- Most common data errors and the correction contact
- Which Departmental Playbook reports HCMs should run before payroll</t>
        </is>
      </c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6" t="inlineStr">
        <is>
          <t>Open</t>
        </is>
      </c>
      <c r="R10" s="6" t="inlineStr"/>
    </row>
  </sheetData>
  <autoFilter ref="A1:R10"/>
  <conditionalFormatting sqref="J2:J10">
    <cfRule type="cellIs" priority="1" operator="equal" dxfId="0">
      <formula>"Keep"</formula>
    </cfRule>
    <cfRule type="cellIs" priority="2" operator="equal" dxfId="1">
      <formula>"Change"</formula>
    </cfRule>
    <cfRule type="cellIs" priority="3" operator="equal" dxfId="2">
      <formula>"Remove"</formula>
    </cfRule>
    <cfRule type="cellIs" priority="4" operator="equal" dxfId="3">
      <formula>"Merge"</formula>
    </cfRule>
  </conditionalFormatting>
  <conditionalFormatting sqref="D2:D10">
    <cfRule type="cellIs" priority="5" operator="equal" dxfId="4">
      <formula>"Coming soon"</formula>
    </cfRule>
  </conditionalFormatting>
  <dataValidations count="6">
    <dataValidation sqref="J2:J10" showDropDown="0" showInputMessage="0" showErrorMessage="1" allowBlank="1" error="Pick a value from the list." type="list">
      <formula1>=Lists!$A$1:$A$4</formula1>
    </dataValidation>
    <dataValidation sqref="L2:L10" showDropDown="0" showInputMessage="0" showErrorMessage="1" allowBlank="1" error="Pick a value from the list." type="list">
      <formula1>=Lists!$B$1:$B$4</formula1>
    </dataValidation>
    <dataValidation sqref="M2:M10" showDropDown="0" showInputMessage="0" showErrorMessage="1" allowBlank="1" error="Pick a value from the list." type="list">
      <formula1>=Lists!$B$1:$B$4</formula1>
    </dataValidation>
    <dataValidation sqref="N2:N10" showDropDown="0" showInputMessage="0" showErrorMessage="1" allowBlank="1" error="Pick a value from the list." type="list">
      <formula1>=Lists!$B$1:$B$4</formula1>
    </dataValidation>
    <dataValidation sqref="P2:P10" showDropDown="0" showInputMessage="0" showErrorMessage="1" allowBlank="1" error="Pick a value from the list." type="list">
      <formula1>=Lists!$C$1:$C$3</formula1>
    </dataValidation>
    <dataValidation sqref="Q2:Q10" showDropDown="0" showInputMessage="0" showErrorMessage="1" allowBlank="1" error="Pick a value from the list." type="list">
      <formula1>=Lists!$D$1:$D$4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FAE70"/>
    <outlinePr summaryBelow="1" summaryRight="1"/>
    <pageSetUpPr fitToPage="1"/>
  </sheetPr>
  <dimension ref="A1:R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2" customWidth="1" min="4" max="4"/>
    <col width="22" customWidth="1" min="5" max="5"/>
    <col width="9" customWidth="1" min="6" max="6"/>
    <col width="8" customWidth="1" min="7" max="7"/>
    <col width="44" customWidth="1" min="8" max="8"/>
    <col width="14" customWidth="1" min="9" max="9"/>
    <col width="12" customWidth="1" min="10" max="10"/>
    <col width="24" customWidth="1" min="11" max="11"/>
    <col width="14" customWidth="1" min="12" max="12"/>
    <col width="13" customWidth="1" min="13" max="13"/>
    <col width="13" customWidth="1" min="14" max="14"/>
    <col width="50" customWidth="1" min="15" max="15"/>
    <col width="10" customWidth="1" min="16" max="16"/>
    <col width="12" customWidth="1" min="17" max="17"/>
    <col width="34" customWidth="1" min="18" max="18"/>
  </cols>
  <sheetData>
    <row r="1" ht="34" customHeight="1">
      <c r="A1" s="5" t="inlineStr">
        <is>
          <t>#</t>
        </is>
      </c>
      <c r="B1" s="5" t="inlineStr">
        <is>
          <t>Subtopic</t>
        </is>
      </c>
      <c r="C1" s="5" t="inlineStr">
        <is>
          <t>Course topic</t>
        </is>
      </c>
      <c r="D1" s="5" t="inlineStr">
        <is>
          <t>Course status</t>
        </is>
      </c>
      <c r="E1" s="5" t="inlineStr">
        <is>
          <t>Source</t>
        </is>
      </c>
      <c r="F1" s="5" t="inlineStr">
        <is>
          <t>Link</t>
        </is>
      </c>
      <c r="G1" s="5" t="inlineStr">
        <is>
          <t>Time</t>
        </is>
      </c>
      <c r="H1" s="5" t="inlineStr">
        <is>
          <t>Open items to confirm</t>
        </is>
      </c>
      <c r="I1" s="5" t="inlineStr">
        <is>
          <t>Reviewer</t>
        </is>
      </c>
      <c r="J1" s="5" t="inlineStr">
        <is>
          <t>Decision</t>
        </is>
      </c>
      <c r="K1" s="5" t="inlineStr">
        <is>
          <t>Merge with</t>
        </is>
      </c>
      <c r="L1" s="5" t="inlineStr">
        <is>
          <t>Steps accurate?</t>
        </is>
      </c>
      <c r="M1" s="5" t="inlineStr">
        <is>
          <t>Job aid OK?</t>
        </is>
      </c>
      <c r="N1" s="5" t="inlineStr">
        <is>
          <t>Quiz OK?</t>
        </is>
      </c>
      <c r="O1" s="5" t="inlineStr">
        <is>
          <t>Notes or changes needed</t>
        </is>
      </c>
      <c r="P1" s="5" t="inlineStr">
        <is>
          <t>Priority</t>
        </is>
      </c>
      <c r="Q1" s="5" t="inlineStr">
        <is>
          <t>PCB status</t>
        </is>
      </c>
      <c r="R1" s="5" t="inlineStr">
        <is>
          <t>PCB response</t>
        </is>
      </c>
    </row>
    <row r="2">
      <c r="A2" s="6" t="n">
        <v>1</v>
      </c>
      <c r="B2" s="6" t="inlineStr">
        <is>
          <t>Position Management</t>
        </is>
      </c>
      <c r="C2" s="6" t="inlineStr">
        <is>
          <t>Job Architecture overview and how it impacts recruiting decisions</t>
        </is>
      </c>
      <c r="D2" s="6" t="inlineStr">
        <is>
          <t>Live</t>
        </is>
      </c>
      <c r="E2" s="6" t="inlineStr">
        <is>
          <t>Vanderbilt SME sources</t>
        </is>
      </c>
      <c r="F2" s="10" t="inlineStr">
        <is>
          <t>Open</t>
        </is>
      </c>
      <c r="G2" s="6" t="inlineStr">
        <is>
          <t>4 min</t>
        </is>
      </c>
      <c r="H2" s="6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6" t="inlineStr">
        <is>
          <t>Open</t>
        </is>
      </c>
      <c r="R2" s="6" t="inlineStr"/>
    </row>
    <row r="3">
      <c r="A3" s="6" t="n">
        <v>2</v>
      </c>
      <c r="B3" s="6" t="inlineStr">
        <is>
          <t>Position Management</t>
        </is>
      </c>
      <c r="C3" s="6" t="inlineStr">
        <is>
          <t>When to create a new position vs. update an existing position</t>
        </is>
      </c>
      <c r="D3" s="6" t="inlineStr">
        <is>
          <t>Live</t>
        </is>
      </c>
      <c r="E3" s="6" t="inlineStr">
        <is>
          <t>Vanderbilt SME sources</t>
        </is>
      </c>
      <c r="F3" s="10" t="inlineStr">
        <is>
          <t>Open</t>
        </is>
      </c>
      <c r="G3" s="6" t="inlineStr">
        <is>
          <t>4 min</t>
        </is>
      </c>
      <c r="H3" s="6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6" t="inlineStr">
        <is>
          <t>Open</t>
        </is>
      </c>
      <c r="R3" s="6" t="inlineStr"/>
    </row>
    <row r="4">
      <c r="A4" s="6" t="n">
        <v>3</v>
      </c>
      <c r="B4" s="6" t="inlineStr">
        <is>
          <t>Position Management</t>
        </is>
      </c>
      <c r="C4" s="6" t="inlineStr">
        <is>
          <t>Create a position</t>
        </is>
      </c>
      <c r="D4" s="6" t="inlineStr">
        <is>
          <t>Live</t>
        </is>
      </c>
      <c r="E4" s="6" t="inlineStr">
        <is>
          <t>Vanderbilt SME sources</t>
        </is>
      </c>
      <c r="F4" s="10" t="inlineStr">
        <is>
          <t>Open</t>
        </is>
      </c>
      <c r="G4" s="6" t="inlineStr">
        <is>
          <t>8 min</t>
        </is>
      </c>
      <c r="H4" s="6" t="inlineStr">
        <is>
          <t>- The Workforce Structures &gt; Positions path
- The Term/Flex field name and rules
- The part-time hours threshold
- VTS (Vanderbilt Temporary Services) naming
- That a regular HCM (not a super-user) sees Our Workforce and this quick action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6" t="inlineStr">
        <is>
          <t>Open</t>
        </is>
      </c>
      <c r="R4" s="6" t="inlineStr"/>
    </row>
    <row r="5">
      <c r="A5" s="6" t="n">
        <v>4</v>
      </c>
      <c r="B5" s="6" t="inlineStr">
        <is>
          <t>Position Management</t>
        </is>
      </c>
      <c r="C5" s="6" t="inlineStr">
        <is>
          <t>Update a position</t>
        </is>
      </c>
      <c r="D5" s="6" t="inlineStr">
        <is>
          <t>Live</t>
        </is>
      </c>
      <c r="E5" s="6" t="inlineStr">
        <is>
          <t>Vanderbilt SME sources</t>
        </is>
      </c>
      <c r="F5" s="10" t="inlineStr">
        <is>
          <t>Open</t>
        </is>
      </c>
      <c r="G5" s="6" t="inlineStr">
        <is>
          <t>6 min</t>
        </is>
      </c>
      <c r="H5" s="6" t="inlineStr">
        <is>
          <t>- The Update action and reason names for a reclassification
- Which fields sync from position to assignment
- That a regular HCM (not a super-user) sees Our Workforce and this quick action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6" t="inlineStr">
        <is>
          <t>Open</t>
        </is>
      </c>
      <c r="R5" s="6" t="inlineStr"/>
    </row>
    <row r="6">
      <c r="A6" s="6" t="n">
        <v>5</v>
      </c>
      <c r="B6" s="6" t="inlineStr">
        <is>
          <t>Position Management</t>
        </is>
      </c>
      <c r="C6" s="6" t="inlineStr">
        <is>
          <t>Position management best practices</t>
        </is>
      </c>
      <c r="D6" s="6" t="inlineStr">
        <is>
          <t>Live</t>
        </is>
      </c>
      <c r="E6" s="6" t="inlineStr">
        <is>
          <t>Vanderbilt SME sources</t>
        </is>
      </c>
      <c r="F6" s="10" t="inlineStr">
        <is>
          <t>Open</t>
        </is>
      </c>
      <c r="G6" s="6" t="inlineStr">
        <is>
          <t>4 min</t>
        </is>
      </c>
      <c r="H6" s="6" t="inlineStr">
        <is>
          <t>- That a regular HCM (not a super-user) sees Our Workforce and this quick action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6" t="inlineStr">
        <is>
          <t>Open</t>
        </is>
      </c>
      <c r="R6" s="6" t="inlineStr"/>
    </row>
    <row r="7">
      <c r="A7" s="6" t="n">
        <v>6</v>
      </c>
      <c r="B7" s="6" t="inlineStr">
        <is>
          <t>Hiring</t>
        </is>
      </c>
      <c r="C7" s="6" t="inlineStr">
        <is>
          <t>Compensation Management: Getting the Compensation Memo</t>
        </is>
      </c>
      <c r="D7" s="6" t="inlineStr">
        <is>
          <t>Live</t>
        </is>
      </c>
      <c r="E7" s="6" t="inlineStr">
        <is>
          <t>Vanderbilt SME sources</t>
        </is>
      </c>
      <c r="F7" s="10" t="inlineStr">
        <is>
          <t>Open</t>
        </is>
      </c>
      <c r="G7" s="6" t="inlineStr">
        <is>
          <t>4 min</t>
        </is>
      </c>
      <c r="H7" s="6" t="inlineStr">
        <is>
          <t>- How to submit the Compensation help desk ticket
- That a regular HCM (not a super-user) sees Our Workforce and this quick action</t>
        </is>
      </c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6" t="inlineStr">
        <is>
          <t>Open</t>
        </is>
      </c>
      <c r="R7" s="6" t="inlineStr"/>
    </row>
    <row r="8">
      <c r="A8" s="6" t="n">
        <v>7</v>
      </c>
      <c r="B8" s="6" t="inlineStr">
        <is>
          <t>Hiring</t>
        </is>
      </c>
      <c r="C8" s="6" t="inlineStr">
        <is>
          <t>Create a requisition</t>
        </is>
      </c>
      <c r="D8" s="6" t="inlineStr">
        <is>
          <t>Live</t>
        </is>
      </c>
      <c r="E8" s="6" t="inlineStr">
        <is>
          <t>Vanderbilt SME sources</t>
        </is>
      </c>
      <c r="F8" s="10" t="inlineStr">
        <is>
          <t>Open</t>
        </is>
      </c>
      <c r="G8" s="6" t="inlineStr">
        <is>
          <t>9 min</t>
        </is>
      </c>
      <c r="H8" s="6" t="inlineStr">
        <is>
          <t>- The Hiring &gt; Requisitions path
- The configuration labels for candidate selection process and background check account (VAN000, VAN09)
- Cielo billing terms
- That a regular HCM (not a super-user) sees Our Workforce and this quick action</t>
        </is>
      </c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6" t="inlineStr">
        <is>
          <t>Open</t>
        </is>
      </c>
      <c r="R8" s="6" t="inlineStr"/>
    </row>
    <row r="9">
      <c r="A9" s="6" t="n">
        <v>8</v>
      </c>
      <c r="B9" s="6" t="inlineStr">
        <is>
          <t>Hiring</t>
        </is>
      </c>
      <c r="C9" s="6" t="inlineStr">
        <is>
          <t>Background checks</t>
        </is>
      </c>
      <c r="D9" s="6" t="inlineStr">
        <is>
          <t>Live</t>
        </is>
      </c>
      <c r="E9" s="6" t="inlineStr">
        <is>
          <t>Vanderbilt SME sources</t>
        </is>
      </c>
      <c r="F9" s="10" t="inlineStr">
        <is>
          <t>Open</t>
        </is>
      </c>
      <c r="G9" s="6" t="inlineStr">
        <is>
          <t>4 min</t>
        </is>
      </c>
      <c r="H9" s="6" t="inlineStr">
        <is>
          <t>- The Formstack request for populations not on a requisition
- That a regular HCM (not a super-user) sees Our Workforce and this quick action</t>
        </is>
      </c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inlineStr">
        <is>
          <t>Open</t>
        </is>
      </c>
      <c r="R9" s="6" t="inlineStr"/>
    </row>
    <row r="10">
      <c r="A10" s="6" t="n">
        <v>9</v>
      </c>
      <c r="B10" s="6" t="inlineStr">
        <is>
          <t>Hiring</t>
        </is>
      </c>
      <c r="C10" s="6" t="inlineStr">
        <is>
          <t>Convert a pending worker</t>
        </is>
      </c>
      <c r="D10" s="6" t="inlineStr">
        <is>
          <t>Live</t>
        </is>
      </c>
      <c r="E10" s="6" t="inlineStr">
        <is>
          <t>Vanderbilt SME sources</t>
        </is>
      </c>
      <c r="F10" s="10" t="inlineStr">
        <is>
          <t>Open</t>
        </is>
      </c>
      <c r="G10" s="6" t="inlineStr">
        <is>
          <t>10 min</t>
        </is>
      </c>
      <c r="H10" s="6" t="inlineStr">
        <is>
          <t>- The Pending Workers path and section names
- The hire reasons
- The assignment status labels
- The new hire report field
- That a regular HCM (not a super-user) sees Our Workforce and this quick action</t>
        </is>
      </c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6" t="inlineStr">
        <is>
          <t>Open</t>
        </is>
      </c>
      <c r="R10" s="6" t="inlineStr"/>
    </row>
    <row r="11">
      <c r="A11" s="6" t="n">
        <v>10</v>
      </c>
      <c r="B11" s="6" t="inlineStr">
        <is>
          <t>Hiring</t>
        </is>
      </c>
      <c r="C11" s="6" t="inlineStr">
        <is>
          <t>Rehires and eligibility for rehire</t>
        </is>
      </c>
      <c r="D11" s="6" t="inlineStr">
        <is>
          <t>Live</t>
        </is>
      </c>
      <c r="E11" s="6" t="inlineStr">
        <is>
          <t>Oracle docs, pending SME review</t>
        </is>
      </c>
      <c r="F11" s="10" t="inlineStr">
        <is>
          <t>Open</t>
        </is>
      </c>
      <c r="G11" s="6" t="inlineStr">
        <is>
          <t>5 min</t>
        </is>
      </c>
      <c r="H11" s="6" t="inlineStr">
        <is>
          <t>- Confirm with your engagement consultant (EC) who can approve rehiring someone marked No, and how Not specified is handled.
- Exact label of the rehire field on Vanderbilt's Terminate Employment page (Recommended for rehire or Eligible for rehire) and its values (Yes, No, Not specified)
- Who can approve rehiring someone marked No, and how Not specified is treated
- Where recruiters see the rehire recommendation in Oracle Recruiting
- Whether rehires through a requisition need any extra step before conversion</t>
        </is>
      </c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6" t="inlineStr">
        <is>
          <t>Open</t>
        </is>
      </c>
      <c r="R11" s="6" t="inlineStr"/>
    </row>
    <row r="12">
      <c r="A12" s="6" t="n">
        <v>11</v>
      </c>
      <c r="B12" s="6" t="inlineStr">
        <is>
          <t>Hiring</t>
        </is>
      </c>
      <c r="C12" s="6" t="inlineStr">
        <is>
          <t>Staff</t>
        </is>
      </c>
      <c r="D12" s="6" t="inlineStr">
        <is>
          <t>Live</t>
        </is>
      </c>
      <c r="E12" s="6" t="inlineStr">
        <is>
          <t>Oracle docs, pending SME review</t>
        </is>
      </c>
      <c r="F12" s="10" t="inlineStr">
        <is>
          <t>Open</t>
        </is>
      </c>
      <c r="G12" s="6" t="inlineStr">
        <is>
          <t>6 min</t>
        </is>
      </c>
      <c r="H12" s="6" t="inlineStr">
        <is>
          <t>- Confirm with your engagement consultant (EC) any lead times between steps your area should plan for.
- Course names and links on the landing page match: Get the compensation memo, Create a position, Create a requisition, Background checks, Convert a pending worker, Enter costing for a person
- Typical lead times between steps (memo, position approval, requisition approval, background check)
- Whether there is an Academy course on the recruiter and offer stage to link</t>
        </is>
      </c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inlineStr">
        <is>
          <t>Open</t>
        </is>
      </c>
      <c r="R12" s="6" t="inlineStr"/>
    </row>
    <row r="13">
      <c r="A13" s="6" t="n">
        <v>12</v>
      </c>
      <c r="B13" s="6" t="inlineStr">
        <is>
          <t>Hiring</t>
        </is>
      </c>
      <c r="C13" s="6" t="inlineStr">
        <is>
          <t>Interns (Paid and Unpaid)</t>
        </is>
      </c>
      <c r="D13" s="6" t="inlineStr">
        <is>
          <t>Live</t>
        </is>
      </c>
      <c r="E13" s="6" t="inlineStr">
        <is>
          <t>Oracle docs, pending SME review</t>
        </is>
      </c>
      <c r="F13" s="10" t="inlineStr">
        <is>
          <t>Open</t>
        </is>
      </c>
      <c r="G13" s="6" t="inlineStr">
        <is>
          <t>6 min</t>
        </is>
      </c>
      <c r="H13" s="6" t="inlineStr">
        <is>
          <t>- Confirm with your engagement consultant (EC) which Oracle worker type and category Vanderbilt uses for paid and unpaid interns, and which checks apply.
- Confirm with your EC whether any state where the intern works has stricter internship rules.
- Oracle worker type, assignment category, and hire reason Vanderbilt uses for paid interns and unpaid interns
- Whether unpaid interns are set up as non-workers or affiliates, and which checks (I-9, background) apply
- Who at Vanderbilt approves an unpaid internship against the primary beneficiary test
- Any state-specific internship rules for NY, CA, FL, DC</t>
        </is>
      </c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6" t="inlineStr">
        <is>
          <t>Open</t>
        </is>
      </c>
      <c r="R13" s="6" t="inlineStr"/>
    </row>
    <row r="14">
      <c r="A14" s="6" t="n">
        <v>13</v>
      </c>
      <c r="B14" s="6" t="inlineStr">
        <is>
          <t>Hiring</t>
        </is>
      </c>
      <c r="C14" s="6" t="inlineStr">
        <is>
          <t>Union Employees</t>
        </is>
      </c>
      <c r="D14" s="6" t="inlineStr">
        <is>
          <t>Coming soon</t>
        </is>
      </c>
      <c r="E14" s="6" t="inlineStr">
        <is>
          <t>No content yet</t>
        </is>
      </c>
      <c r="F14" s="6" t="inlineStr"/>
      <c r="G14" s="6" t="inlineStr">
        <is>
          <t>10 min</t>
        </is>
      </c>
      <c r="H14" s="6" t="inlineStr">
        <is>
          <t>Needs a source: SME session, guide, or recording.</t>
        </is>
      </c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6" t="inlineStr">
        <is>
          <t>Open</t>
        </is>
      </c>
      <c r="R14" s="6" t="inlineStr"/>
    </row>
    <row r="15">
      <c r="A15" s="6" t="n">
        <v>14</v>
      </c>
      <c r="B15" s="6" t="inlineStr">
        <is>
          <t>Hiring</t>
        </is>
      </c>
      <c r="C15" s="6" t="inlineStr">
        <is>
          <t>Non-Workers</t>
        </is>
      </c>
      <c r="D15" s="6" t="inlineStr">
        <is>
          <t>Live</t>
        </is>
      </c>
      <c r="E15" s="6" t="inlineStr">
        <is>
          <t>Vanderbilt SME sources</t>
        </is>
      </c>
      <c r="F15" s="10" t="inlineStr">
        <is>
          <t>Open</t>
        </is>
      </c>
      <c r="G15" s="6" t="inlineStr">
        <is>
          <t>3 min</t>
        </is>
      </c>
      <c r="H15" s="6" t="inlineStr">
        <is>
          <t>- The non-employment hire reason name
- That a regular HCM (not a super-user) sees Our Workforce and this quick action</t>
        </is>
      </c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6" t="inlineStr">
        <is>
          <t>Open</t>
        </is>
      </c>
      <c r="R15" s="6" t="inlineStr"/>
    </row>
    <row r="16">
      <c r="A16" s="6" t="n">
        <v>15</v>
      </c>
      <c r="B16" s="6" t="inlineStr">
        <is>
          <t>Hiring</t>
        </is>
      </c>
      <c r="C16" s="6" t="inlineStr">
        <is>
          <t>Executive or External Search</t>
        </is>
      </c>
      <c r="D16" s="6" t="inlineStr">
        <is>
          <t>Live</t>
        </is>
      </c>
      <c r="E16" s="6" t="inlineStr">
        <is>
          <t>Vanderbilt SME sources</t>
        </is>
      </c>
      <c r="F16" s="10" t="inlineStr">
        <is>
          <t>Open</t>
        </is>
      </c>
      <c r="G16" s="6" t="inlineStr">
        <is>
          <t>3 min</t>
        </is>
      </c>
      <c r="H16" s="6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6" t="inlineStr">
        <is>
          <t>Open</t>
        </is>
      </c>
      <c r="R16" s="6" t="inlineStr"/>
    </row>
    <row r="17">
      <c r="A17" s="6" t="n">
        <v>16</v>
      </c>
      <c r="B17" s="6" t="inlineStr">
        <is>
          <t>Regional and Out-of-State Hiring</t>
        </is>
      </c>
      <c r="C17" s="6" t="inlineStr">
        <is>
          <t>Out of State Risk Assessment</t>
        </is>
      </c>
      <c r="D17" s="6" t="inlineStr">
        <is>
          <t>Coming soon</t>
        </is>
      </c>
      <c r="E17" s="6" t="inlineStr">
        <is>
          <t>No content yet</t>
        </is>
      </c>
      <c r="F17" s="6" t="inlineStr"/>
      <c r="G17" s="6" t="inlineStr">
        <is>
          <t>10 min</t>
        </is>
      </c>
      <c r="H17" s="6" t="inlineStr">
        <is>
          <t>Needs a source: SME session, guide, or recording.</t>
        </is>
      </c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6" t="inlineStr">
        <is>
          <t>Open</t>
        </is>
      </c>
      <c r="R17" s="6" t="inlineStr"/>
    </row>
    <row r="18">
      <c r="A18" s="6" t="n">
        <v>17</v>
      </c>
      <c r="B18" s="6" t="inlineStr">
        <is>
          <t>Regional and Out-of-State Hiring</t>
        </is>
      </c>
      <c r="C18" s="6" t="inlineStr">
        <is>
          <t>Pay transparency</t>
        </is>
      </c>
      <c r="D18" s="6" t="inlineStr">
        <is>
          <t>Coming soon</t>
        </is>
      </c>
      <c r="E18" s="6" t="inlineStr">
        <is>
          <t>No content yet</t>
        </is>
      </c>
      <c r="F18" s="6" t="inlineStr"/>
      <c r="G18" s="6" t="inlineStr">
        <is>
          <t>10 min</t>
        </is>
      </c>
      <c r="H18" s="6" t="inlineStr">
        <is>
          <t>Needs a source: SME session, guide, or recording.</t>
        </is>
      </c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6" t="inlineStr">
        <is>
          <t>Open</t>
        </is>
      </c>
      <c r="R18" s="6" t="inlineStr"/>
    </row>
    <row r="19">
      <c r="A19" s="6" t="n">
        <v>18</v>
      </c>
      <c r="B19" s="6" t="inlineStr">
        <is>
          <t>Regional and Out-of-State Hiring</t>
        </is>
      </c>
      <c r="C19" s="6" t="inlineStr">
        <is>
          <t>Payroll cadence</t>
        </is>
      </c>
      <c r="D19" s="6" t="inlineStr">
        <is>
          <t>Coming soon</t>
        </is>
      </c>
      <c r="E19" s="6" t="inlineStr">
        <is>
          <t>No content yet</t>
        </is>
      </c>
      <c r="F19" s="6" t="inlineStr"/>
      <c r="G19" s="6" t="inlineStr">
        <is>
          <t>10 min</t>
        </is>
      </c>
      <c r="H19" s="6" t="inlineStr">
        <is>
          <t>Needs a source: SME session, guide, or recording.</t>
        </is>
      </c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6" t="inlineStr">
        <is>
          <t>Open</t>
        </is>
      </c>
      <c r="R19" s="6" t="inlineStr"/>
    </row>
    <row r="20">
      <c r="A20" s="6" t="n">
        <v>19</v>
      </c>
      <c r="B20" s="6" t="inlineStr">
        <is>
          <t>Regional and Out-of-State Hiring</t>
        </is>
      </c>
      <c r="C20" s="6" t="inlineStr">
        <is>
          <t>Regional benefits and leave</t>
        </is>
      </c>
      <c r="D20" s="6" t="inlineStr">
        <is>
          <t>Coming soon</t>
        </is>
      </c>
      <c r="E20" s="6" t="inlineStr">
        <is>
          <t>No content yet</t>
        </is>
      </c>
      <c r="F20" s="6" t="inlineStr"/>
      <c r="G20" s="6" t="inlineStr">
        <is>
          <t>10 min</t>
        </is>
      </c>
      <c r="H20" s="6" t="inlineStr">
        <is>
          <t>Needs a source: SME session, guide, or recording.</t>
        </is>
      </c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6" t="inlineStr">
        <is>
          <t>Open</t>
        </is>
      </c>
      <c r="R20" s="6" t="inlineStr"/>
    </row>
  </sheetData>
  <autoFilter ref="A1:R20"/>
  <conditionalFormatting sqref="J2:J20">
    <cfRule type="cellIs" priority="1" operator="equal" dxfId="0">
      <formula>"Keep"</formula>
    </cfRule>
    <cfRule type="cellIs" priority="2" operator="equal" dxfId="1">
      <formula>"Change"</formula>
    </cfRule>
    <cfRule type="cellIs" priority="3" operator="equal" dxfId="2">
      <formula>"Remove"</formula>
    </cfRule>
    <cfRule type="cellIs" priority="4" operator="equal" dxfId="3">
      <formula>"Merge"</formula>
    </cfRule>
  </conditionalFormatting>
  <conditionalFormatting sqref="D2:D20">
    <cfRule type="cellIs" priority="5" operator="equal" dxfId="4">
      <formula>"Coming soon"</formula>
    </cfRule>
  </conditionalFormatting>
  <dataValidations count="6">
    <dataValidation sqref="J2:J20" showDropDown="0" showInputMessage="0" showErrorMessage="1" allowBlank="1" error="Pick a value from the list." type="list">
      <formula1>=Lists!$A$1:$A$4</formula1>
    </dataValidation>
    <dataValidation sqref="L2:L20" showDropDown="0" showInputMessage="0" showErrorMessage="1" allowBlank="1" error="Pick a value from the list." type="list">
      <formula1>=Lists!$B$1:$B$4</formula1>
    </dataValidation>
    <dataValidation sqref="M2:M20" showDropDown="0" showInputMessage="0" showErrorMessage="1" allowBlank="1" error="Pick a value from the list." type="list">
      <formula1>=Lists!$B$1:$B$4</formula1>
    </dataValidation>
    <dataValidation sqref="N2:N20" showDropDown="0" showInputMessage="0" showErrorMessage="1" allowBlank="1" error="Pick a value from the list." type="list">
      <formula1>=Lists!$B$1:$B$4</formula1>
    </dataValidation>
    <dataValidation sqref="P2:P20" showDropDown="0" showInputMessage="0" showErrorMessage="1" allowBlank="1" error="Pick a value from the list." type="list">
      <formula1>=Lists!$C$1:$C$3</formula1>
    </dataValidation>
    <dataValidation sqref="Q2:Q20" showDropDown="0" showInputMessage="0" showErrorMessage="1" allowBlank="1" error="Pick a value from the list." type="list">
      <formula1>=Lists!$D$1:$D$4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5" r:id="rId13"/>
    <hyperlink xmlns:r="http://schemas.openxmlformats.org/officeDocument/2006/relationships" ref="F16" r:id="rId14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FAE70"/>
    <outlinePr summaryBelow="1" summaryRight="1"/>
    <pageSetUpPr fitToPage="1"/>
  </sheetPr>
  <dimension ref="A1:R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2" customWidth="1" min="4" max="4"/>
    <col width="22" customWidth="1" min="5" max="5"/>
    <col width="9" customWidth="1" min="6" max="6"/>
    <col width="8" customWidth="1" min="7" max="7"/>
    <col width="44" customWidth="1" min="8" max="8"/>
    <col width="14" customWidth="1" min="9" max="9"/>
    <col width="12" customWidth="1" min="10" max="10"/>
    <col width="24" customWidth="1" min="11" max="11"/>
    <col width="14" customWidth="1" min="12" max="12"/>
    <col width="13" customWidth="1" min="13" max="13"/>
    <col width="13" customWidth="1" min="14" max="14"/>
    <col width="50" customWidth="1" min="15" max="15"/>
    <col width="10" customWidth="1" min="16" max="16"/>
    <col width="12" customWidth="1" min="17" max="17"/>
    <col width="34" customWidth="1" min="18" max="18"/>
  </cols>
  <sheetData>
    <row r="1" ht="34" customHeight="1">
      <c r="A1" s="5" t="inlineStr">
        <is>
          <t>#</t>
        </is>
      </c>
      <c r="B1" s="5" t="inlineStr">
        <is>
          <t>Subtopic</t>
        </is>
      </c>
      <c r="C1" s="5" t="inlineStr">
        <is>
          <t>Course topic</t>
        </is>
      </c>
      <c r="D1" s="5" t="inlineStr">
        <is>
          <t>Course status</t>
        </is>
      </c>
      <c r="E1" s="5" t="inlineStr">
        <is>
          <t>Source</t>
        </is>
      </c>
      <c r="F1" s="5" t="inlineStr">
        <is>
          <t>Link</t>
        </is>
      </c>
      <c r="G1" s="5" t="inlineStr">
        <is>
          <t>Time</t>
        </is>
      </c>
      <c r="H1" s="5" t="inlineStr">
        <is>
          <t>Open items to confirm</t>
        </is>
      </c>
      <c r="I1" s="5" t="inlineStr">
        <is>
          <t>Reviewer</t>
        </is>
      </c>
      <c r="J1" s="5" t="inlineStr">
        <is>
          <t>Decision</t>
        </is>
      </c>
      <c r="K1" s="5" t="inlineStr">
        <is>
          <t>Merge with</t>
        </is>
      </c>
      <c r="L1" s="5" t="inlineStr">
        <is>
          <t>Steps accurate?</t>
        </is>
      </c>
      <c r="M1" s="5" t="inlineStr">
        <is>
          <t>Job aid OK?</t>
        </is>
      </c>
      <c r="N1" s="5" t="inlineStr">
        <is>
          <t>Quiz OK?</t>
        </is>
      </c>
      <c r="O1" s="5" t="inlineStr">
        <is>
          <t>Notes or changes needed</t>
        </is>
      </c>
      <c r="P1" s="5" t="inlineStr">
        <is>
          <t>Priority</t>
        </is>
      </c>
      <c r="Q1" s="5" t="inlineStr">
        <is>
          <t>PCB status</t>
        </is>
      </c>
      <c r="R1" s="5" t="inlineStr">
        <is>
          <t>PCB response</t>
        </is>
      </c>
    </row>
    <row r="2">
      <c r="A2" s="6" t="n">
        <v>1</v>
      </c>
      <c r="B2" s="6" t="inlineStr">
        <is>
          <t>Payroll &amp; Timecards</t>
        </is>
      </c>
      <c r="C2" s="6" t="inlineStr">
        <is>
          <t>The HCM's role in payroll</t>
        </is>
      </c>
      <c r="D2" s="6" t="inlineStr">
        <is>
          <t>Live</t>
        </is>
      </c>
      <c r="E2" s="6" t="inlineStr">
        <is>
          <t>Vanderbilt SME sources</t>
        </is>
      </c>
      <c r="F2" s="10" t="inlineStr">
        <is>
          <t>Open</t>
        </is>
      </c>
      <c r="G2" s="6" t="inlineStr">
        <is>
          <t>5 min</t>
        </is>
      </c>
      <c r="H2" s="6" t="inlineStr">
        <is>
          <t>- The exact payroll elements to confirm at hire are still being documented with the payroll team.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6" t="inlineStr">
        <is>
          <t>Open</t>
        </is>
      </c>
      <c r="R2" s="6" t="inlineStr"/>
    </row>
    <row r="3">
      <c r="A3" s="6" t="n">
        <v>2</v>
      </c>
      <c r="B3" s="6" t="inlineStr">
        <is>
          <t>Payroll &amp; Timecards</t>
        </is>
      </c>
      <c r="C3" s="6" t="inlineStr">
        <is>
          <t>Weekly time card check</t>
        </is>
      </c>
      <c r="D3" s="6" t="inlineStr">
        <is>
          <t>Live</t>
        </is>
      </c>
      <c r="E3" s="6" t="inlineStr">
        <is>
          <t>Vanderbilt SME sources</t>
        </is>
      </c>
      <c r="F3" s="10" t="inlineStr">
        <is>
          <t>Open</t>
        </is>
      </c>
      <c r="G3" s="6" t="inlineStr">
        <is>
          <t>6 min</t>
        </is>
      </c>
      <c r="H3" s="6" t="inlineStr">
        <is>
          <t>- The pay code names in the Time Off list (PTO-Vacation and sick)
- Who to contact when UKG access is missing</t>
        </is>
      </c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6" t="inlineStr">
        <is>
          <t>Open</t>
        </is>
      </c>
      <c r="R3" s="6" t="inlineStr"/>
    </row>
    <row r="4">
      <c r="A4" s="6" t="n">
        <v>3</v>
      </c>
      <c r="B4" s="6" t="inlineStr">
        <is>
          <t>Payroll &amp; Timecards</t>
        </is>
      </c>
      <c r="C4" s="6" t="inlineStr">
        <is>
          <t>Review and approve time cards</t>
        </is>
      </c>
      <c r="D4" s="6" t="inlineStr">
        <is>
          <t>Live</t>
        </is>
      </c>
      <c r="E4" s="6" t="inlineStr">
        <is>
          <t>Vanderbilt SME sources</t>
        </is>
      </c>
      <c r="F4" s="10" t="inlineStr">
        <is>
          <t>Open</t>
        </is>
      </c>
      <c r="G4" s="6" t="inlineStr">
        <is>
          <t>7 min</t>
        </is>
      </c>
      <c r="H4" s="6" t="inlineStr">
        <is>
          <t>- The pay code names in the Time Off list (PTO-Vacation and sick)
- Who to contact when UKG access is missing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6" t="inlineStr">
        <is>
          <t>Open</t>
        </is>
      </c>
      <c r="R4" s="6" t="inlineStr"/>
    </row>
    <row r="5">
      <c r="A5" s="6" t="n">
        <v>4</v>
      </c>
      <c r="B5" s="6" t="inlineStr">
        <is>
          <t>Payroll &amp; Timecards</t>
        </is>
      </c>
      <c r="C5" s="6" t="inlineStr">
        <is>
          <t>Enter PTO for an employee</t>
        </is>
      </c>
      <c r="D5" s="6" t="inlineStr">
        <is>
          <t>Live</t>
        </is>
      </c>
      <c r="E5" s="6" t="inlineStr">
        <is>
          <t>Vanderbilt SME sources</t>
        </is>
      </c>
      <c r="F5" s="10" t="inlineStr">
        <is>
          <t>Open</t>
        </is>
      </c>
      <c r="G5" s="6" t="inlineStr">
        <is>
          <t>5 min</t>
        </is>
      </c>
      <c r="H5" s="6" t="inlineStr">
        <is>
          <t>- The pay code names in the Time Off list (PTO-Vacation and sick)
- Who to contact when UKG access is missing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6" t="inlineStr">
        <is>
          <t>Open</t>
        </is>
      </c>
      <c r="R5" s="6" t="inlineStr"/>
    </row>
    <row r="6">
      <c r="A6" s="6" t="n">
        <v>5</v>
      </c>
      <c r="B6" s="6" t="inlineStr">
        <is>
          <t>Payroll &amp; Timecards</t>
        </is>
      </c>
      <c r="C6" s="6" t="inlineStr">
        <is>
          <t>UKG: Timecards, Time Off, and Schedules for Managers</t>
        </is>
      </c>
      <c r="D6" s="6" t="inlineStr">
        <is>
          <t>Live</t>
        </is>
      </c>
      <c r="E6" s="6" t="inlineStr">
        <is>
          <t>Oracle docs, pending SME review</t>
        </is>
      </c>
      <c r="F6" s="10" t="inlineStr">
        <is>
          <t>Open</t>
        </is>
      </c>
      <c r="G6" s="6" t="inlineStr">
        <is>
          <t>6 min</t>
        </is>
      </c>
      <c r="H6" s="6" t="inlineStr">
        <is>
          <t>- Confirm the exact manager screens Vanderbilt uses (Manage Timecards, Control Center, schedule views), any delegate approver setup, and the manager approval deadline each pay period.
- Exact manager screens at Vanderbilt (Manage Timecards, Control Center, schedule views) and their labels
- Whether managers open UKG via Me &gt; Apps &gt; UKG (Kronos) Timesheets like employees
- Manager approval deadline each pay period and delegate approver setup
- Whether managers can mark exceptions reviewed or must correct punches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6" t="inlineStr">
        <is>
          <t>Open</t>
        </is>
      </c>
      <c r="R6" s="6" t="inlineStr"/>
    </row>
    <row r="7">
      <c r="A7" s="6" t="n">
        <v>6</v>
      </c>
      <c r="B7" s="6" t="inlineStr">
        <is>
          <t>Payroll &amp; Timecards</t>
        </is>
      </c>
      <c r="C7" s="6" t="inlineStr">
        <is>
          <t>UKG: Employee Timecards and Time Off</t>
        </is>
      </c>
      <c r="D7" s="6" t="inlineStr">
        <is>
          <t>Live</t>
        </is>
      </c>
      <c r="E7" s="6" t="inlineStr">
        <is>
          <t>Oracle docs, pending SME review</t>
        </is>
      </c>
      <c r="F7" s="10" t="inlineStr">
        <is>
          <t>Open</t>
        </is>
      </c>
      <c r="G7" s="6" t="inlineStr">
        <is>
          <t>6 min</t>
        </is>
      </c>
      <c r="H7" s="6" t="inlineStr">
        <is>
          <t>- Confirm whether Vanderbilt employees punch at clocks, use web or mobile punch, or enter hours on a timesheet, and which accrual balances display.
- How Vanderbilt employees record time (clock punch, web/mobile punch, or timesheet entry)
- Which accrual balances employees see and where
- Screenshot of + row and Browse in the Time Off column with PTO-Vacation</t>
        </is>
      </c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6" t="inlineStr">
        <is>
          <t>Open</t>
        </is>
      </c>
      <c r="R7" s="6" t="inlineStr"/>
    </row>
    <row r="8">
      <c r="A8" s="6" t="n">
        <v>7</v>
      </c>
      <c r="B8" s="6" t="inlineStr">
        <is>
          <t>Payroll &amp; Timecards</t>
        </is>
      </c>
      <c r="C8" s="6" t="inlineStr">
        <is>
          <t>Request an off-cycle payment</t>
        </is>
      </c>
      <c r="D8" s="6" t="inlineStr">
        <is>
          <t>Live</t>
        </is>
      </c>
      <c r="E8" s="6" t="inlineStr">
        <is>
          <t>Vanderbilt SME sources</t>
        </is>
      </c>
      <c r="F8" s="10" t="inlineStr">
        <is>
          <t>Open</t>
        </is>
      </c>
      <c r="G8" s="6" t="inlineStr">
        <is>
          <t>6 min</t>
        </is>
      </c>
      <c r="H8" s="6" t="inlineStr">
        <is>
          <t>- The off-cycle request form link and its current criteria
- That a regular HCM (not a super-user) sees Our Workforce and this quick action</t>
        </is>
      </c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6" t="inlineStr">
        <is>
          <t>Open</t>
        </is>
      </c>
      <c r="R8" s="6" t="inlineStr"/>
    </row>
    <row r="9">
      <c r="A9" s="6" t="n">
        <v>8</v>
      </c>
      <c r="B9" s="6" t="inlineStr">
        <is>
          <t>Compensation Management</t>
        </is>
      </c>
      <c r="C9" s="6" t="inlineStr">
        <is>
          <t>Change salary</t>
        </is>
      </c>
      <c r="D9" s="6" t="inlineStr">
        <is>
          <t>Live</t>
        </is>
      </c>
      <c r="E9" s="6" t="inlineStr">
        <is>
          <t>Vanderbilt SME sources</t>
        </is>
      </c>
      <c r="F9" s="10" t="inlineStr">
        <is>
          <t>Open</t>
        </is>
      </c>
      <c r="G9" s="6" t="inlineStr">
        <is>
          <t>8 min</t>
        </is>
      </c>
      <c r="H9" s="6" t="inlineStr">
        <is>
          <t>- The Change Salary section names
- The reason list values
- The amount and percentage field labels
- That a regular HCM (not a super-user) sees Our Workforce and this quick action</t>
        </is>
      </c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inlineStr">
        <is>
          <t>Open</t>
        </is>
      </c>
      <c r="R9" s="6" t="inlineStr"/>
    </row>
    <row r="10">
      <c r="A10" s="6" t="n">
        <v>9</v>
      </c>
      <c r="B10" s="6" t="inlineStr">
        <is>
          <t>Compensation Management</t>
        </is>
      </c>
      <c r="C10" s="6" t="inlineStr">
        <is>
          <t>Process grossed-up additional compensation</t>
        </is>
      </c>
      <c r="D10" s="6" t="inlineStr">
        <is>
          <t>Live</t>
        </is>
      </c>
      <c r="E10" s="6" t="inlineStr">
        <is>
          <t>Vanderbilt SME sources</t>
        </is>
      </c>
      <c r="F10" s="10" t="inlineStr">
        <is>
          <t>Open</t>
        </is>
      </c>
      <c r="G10" s="6" t="inlineStr">
        <is>
          <t>6 min</t>
        </is>
      </c>
      <c r="H10" s="6" t="inlineStr">
        <is>
          <t>- The Individual Compensation quick action name
- Plan names (Lump sum payment, Bonus, staff supplements)
- The Net, Amount, Process separately, and Ongoing field labels
- That a regular HCM (not a super-user) sees Our Workforce and this quick action</t>
        </is>
      </c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6" t="inlineStr">
        <is>
          <t>Open</t>
        </is>
      </c>
      <c r="R10" s="6" t="inlineStr"/>
    </row>
    <row r="11">
      <c r="A11" s="6" t="n">
        <v>10</v>
      </c>
      <c r="B11" s="6" t="inlineStr">
        <is>
          <t>Compensation Management</t>
        </is>
      </c>
      <c r="C11" s="6" t="inlineStr">
        <is>
          <t>Add a one-time payment (such as a sign-on bonus)</t>
        </is>
      </c>
      <c r="D11" s="6" t="inlineStr">
        <is>
          <t>Live</t>
        </is>
      </c>
      <c r="E11" s="6" t="inlineStr">
        <is>
          <t>Vanderbilt SME sources</t>
        </is>
      </c>
      <c r="F11" s="10" t="inlineStr">
        <is>
          <t>Open</t>
        </is>
      </c>
      <c r="G11" s="6" t="inlineStr">
        <is>
          <t>6 min</t>
        </is>
      </c>
      <c r="H11" s="6" t="inlineStr">
        <is>
          <t>- The Individual Compensation quick action name
- Plan names (Lump sum payment, Bonus, staff supplements)
- The Net, Amount, Process separately, and Ongoing field labels
- That a regular HCM (not a super-user) sees Our Workforce and this quick action</t>
        </is>
      </c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6" t="inlineStr">
        <is>
          <t>Open</t>
        </is>
      </c>
      <c r="R11" s="6" t="inlineStr"/>
    </row>
    <row r="12">
      <c r="A12" s="6" t="n">
        <v>11</v>
      </c>
      <c r="B12" s="6" t="inlineStr">
        <is>
          <t>Compensation Management</t>
        </is>
      </c>
      <c r="C12" s="6" t="inlineStr">
        <is>
          <t>Add a staff supplement</t>
        </is>
      </c>
      <c r="D12" s="6" t="inlineStr">
        <is>
          <t>Live</t>
        </is>
      </c>
      <c r="E12" s="6" t="inlineStr">
        <is>
          <t>Vanderbilt SME sources</t>
        </is>
      </c>
      <c r="F12" s="10" t="inlineStr">
        <is>
          <t>Open</t>
        </is>
      </c>
      <c r="G12" s="6" t="inlineStr">
        <is>
          <t>7 min</t>
        </is>
      </c>
      <c r="H12" s="6" t="inlineStr">
        <is>
          <t>- The Individual Compensation quick action name
- Plan names (Lump sum payment, Bonus, staff supplements)
- The Net, Amount, Process separately, and Ongoing field labels
- That a regular HCM (not a super-user) sees Our Workforce and this quick action</t>
        </is>
      </c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inlineStr">
        <is>
          <t>Open</t>
        </is>
      </c>
      <c r="R12" s="6" t="inlineStr"/>
    </row>
    <row r="13">
      <c r="A13" s="6" t="n">
        <v>12</v>
      </c>
      <c r="B13" s="6" t="inlineStr">
        <is>
          <t>Compensation Management</t>
        </is>
      </c>
      <c r="C13" s="6" t="inlineStr">
        <is>
          <t>Compensation impacts on payroll processing</t>
        </is>
      </c>
      <c r="D13" s="6" t="inlineStr">
        <is>
          <t>Live</t>
        </is>
      </c>
      <c r="E13" s="6" t="inlineStr">
        <is>
          <t>Oracle docs, pending SME review</t>
        </is>
      </c>
      <c r="F13" s="10" t="inlineStr">
        <is>
          <t>Open</t>
        </is>
      </c>
      <c r="G13" s="6" t="inlineStr">
        <is>
          <t>7 min</t>
        </is>
      </c>
      <c r="H13" s="6" t="inlineStr">
        <is>
          <t>- Confirm with payroll which Vanderbilt earnings use Process separately and how retro shows on the payslip.
- Payroll confirms retro behavior and how retro lines appear on the payslip
- Which Vanderbilt earnings are set to Process separately or pay separately
- Vanderbilt action name and path for salary changes under Our Workforce &gt; Quick Actions
- Biweekly/weekly cutoff relative to UKG approval deadlines</t>
        </is>
      </c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6" t="inlineStr">
        <is>
          <t>Open</t>
        </is>
      </c>
      <c r="R13" s="6" t="inlineStr"/>
    </row>
  </sheetData>
  <autoFilter ref="A1:R13"/>
  <conditionalFormatting sqref="J2:J13">
    <cfRule type="cellIs" priority="1" operator="equal" dxfId="0">
      <formula>"Keep"</formula>
    </cfRule>
    <cfRule type="cellIs" priority="2" operator="equal" dxfId="1">
      <formula>"Change"</formula>
    </cfRule>
    <cfRule type="cellIs" priority="3" operator="equal" dxfId="2">
      <formula>"Remove"</formula>
    </cfRule>
    <cfRule type="cellIs" priority="4" operator="equal" dxfId="3">
      <formula>"Merge"</formula>
    </cfRule>
  </conditionalFormatting>
  <conditionalFormatting sqref="D2:D13">
    <cfRule type="cellIs" priority="5" operator="equal" dxfId="4">
      <formula>"Coming soon"</formula>
    </cfRule>
  </conditionalFormatting>
  <dataValidations count="6">
    <dataValidation sqref="J2:J13" showDropDown="0" showInputMessage="0" showErrorMessage="1" allowBlank="1" error="Pick a value from the list." type="list">
      <formula1>=Lists!$A$1:$A$4</formula1>
    </dataValidation>
    <dataValidation sqref="L2:L13" showDropDown="0" showInputMessage="0" showErrorMessage="1" allowBlank="1" error="Pick a value from the list." type="list">
      <formula1>=Lists!$B$1:$B$4</formula1>
    </dataValidation>
    <dataValidation sqref="M2:M13" showDropDown="0" showInputMessage="0" showErrorMessage="1" allowBlank="1" error="Pick a value from the list." type="list">
      <formula1>=Lists!$B$1:$B$4</formula1>
    </dataValidation>
    <dataValidation sqref="N2:N13" showDropDown="0" showInputMessage="0" showErrorMessage="1" allowBlank="1" error="Pick a value from the list." type="list">
      <formula1>=Lists!$B$1:$B$4</formula1>
    </dataValidation>
    <dataValidation sqref="P2:P13" showDropDown="0" showInputMessage="0" showErrorMessage="1" allowBlank="1" error="Pick a value from the list." type="list">
      <formula1>=Lists!$C$1:$C$3</formula1>
    </dataValidation>
    <dataValidation sqref="Q2:Q13" showDropDown="0" showInputMessage="0" showErrorMessage="1" allowBlank="1" error="Pick a value from the list." type="list">
      <formula1>=Lists!$D$1:$D$4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FAE70"/>
    <outlinePr summaryBelow="1" summaryRight="1"/>
    <pageSetUpPr fitToPage="1"/>
  </sheetPr>
  <dimension ref="A1:R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2" customWidth="1" min="4" max="4"/>
    <col width="22" customWidth="1" min="5" max="5"/>
    <col width="9" customWidth="1" min="6" max="6"/>
    <col width="8" customWidth="1" min="7" max="7"/>
    <col width="44" customWidth="1" min="8" max="8"/>
    <col width="14" customWidth="1" min="9" max="9"/>
    <col width="12" customWidth="1" min="10" max="10"/>
    <col width="24" customWidth="1" min="11" max="11"/>
    <col width="14" customWidth="1" min="12" max="12"/>
    <col width="13" customWidth="1" min="13" max="13"/>
    <col width="13" customWidth="1" min="14" max="14"/>
    <col width="50" customWidth="1" min="15" max="15"/>
    <col width="10" customWidth="1" min="16" max="16"/>
    <col width="12" customWidth="1" min="17" max="17"/>
    <col width="34" customWidth="1" min="18" max="18"/>
  </cols>
  <sheetData>
    <row r="1" ht="34" customHeight="1">
      <c r="A1" s="5" t="inlineStr">
        <is>
          <t>#</t>
        </is>
      </c>
      <c r="B1" s="5" t="inlineStr">
        <is>
          <t>Subtopic</t>
        </is>
      </c>
      <c r="C1" s="5" t="inlineStr">
        <is>
          <t>Course topic</t>
        </is>
      </c>
      <c r="D1" s="5" t="inlineStr">
        <is>
          <t>Course status</t>
        </is>
      </c>
      <c r="E1" s="5" t="inlineStr">
        <is>
          <t>Source</t>
        </is>
      </c>
      <c r="F1" s="5" t="inlineStr">
        <is>
          <t>Link</t>
        </is>
      </c>
      <c r="G1" s="5" t="inlineStr">
        <is>
          <t>Time</t>
        </is>
      </c>
      <c r="H1" s="5" t="inlineStr">
        <is>
          <t>Open items to confirm</t>
        </is>
      </c>
      <c r="I1" s="5" t="inlineStr">
        <is>
          <t>Reviewer</t>
        </is>
      </c>
      <c r="J1" s="5" t="inlineStr">
        <is>
          <t>Decision</t>
        </is>
      </c>
      <c r="K1" s="5" t="inlineStr">
        <is>
          <t>Merge with</t>
        </is>
      </c>
      <c r="L1" s="5" t="inlineStr">
        <is>
          <t>Steps accurate?</t>
        </is>
      </c>
      <c r="M1" s="5" t="inlineStr">
        <is>
          <t>Job aid OK?</t>
        </is>
      </c>
      <c r="N1" s="5" t="inlineStr">
        <is>
          <t>Quiz OK?</t>
        </is>
      </c>
      <c r="O1" s="5" t="inlineStr">
        <is>
          <t>Notes or changes needed</t>
        </is>
      </c>
      <c r="P1" s="5" t="inlineStr">
        <is>
          <t>Priority</t>
        </is>
      </c>
      <c r="Q1" s="5" t="inlineStr">
        <is>
          <t>PCB status</t>
        </is>
      </c>
      <c r="R1" s="5" t="inlineStr">
        <is>
          <t>PCB response</t>
        </is>
      </c>
    </row>
    <row r="2">
      <c r="A2" s="6" t="n">
        <v>1</v>
      </c>
      <c r="B2" s="6" t="inlineStr">
        <is>
          <t>Assignment Changes</t>
        </is>
      </c>
      <c r="C2" s="6" t="inlineStr">
        <is>
          <t>Change Assignment</t>
        </is>
      </c>
      <c r="D2" s="6" t="inlineStr">
        <is>
          <t>Live</t>
        </is>
      </c>
      <c r="E2" s="6" t="inlineStr">
        <is>
          <t>Vanderbilt SME sources</t>
        </is>
      </c>
      <c r="F2" s="10" t="inlineStr">
        <is>
          <t>Open</t>
        </is>
      </c>
      <c r="G2" s="6" t="inlineStr">
        <is>
          <t>6 min</t>
        </is>
      </c>
      <c r="H2" s="6" t="inlineStr">
        <is>
          <t>- The Employment Info path
- The action and reason names
- That a regular HCM (not a super-user) sees Our Workforce and this quick action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6" t="inlineStr">
        <is>
          <t>Open</t>
        </is>
      </c>
      <c r="R2" s="6" t="inlineStr"/>
    </row>
    <row r="3">
      <c r="A3" s="6" t="n">
        <v>2</v>
      </c>
      <c r="B3" s="6" t="inlineStr">
        <is>
          <t>Assignment Changes</t>
        </is>
      </c>
      <c r="C3" s="6" t="inlineStr">
        <is>
          <t>Add Assignment</t>
        </is>
      </c>
      <c r="D3" s="6" t="inlineStr">
        <is>
          <t>Live</t>
        </is>
      </c>
      <c r="E3" s="6" t="inlineStr">
        <is>
          <t>Oracle docs, pending SME review</t>
        </is>
      </c>
      <c r="F3" s="10" t="inlineStr">
        <is>
          <t>Open</t>
        </is>
      </c>
      <c r="G3" s="6" t="inlineStr">
        <is>
          <t>5 min</t>
        </is>
      </c>
      <c r="H3" s="6" t="inlineStr">
        <is>
          <t>- Confirm Vanderbilt's action reasons for an added assignment and whether a second assignment needs a pre-approval from Compensation or your PCB consultant.
- Add Assignment appears under Our Workforce &gt; Quick Actions (Show More) in Vanderbilt's Redwood pages
- Vanderbilt action reasons to use for an added assignment
- Whether a second assignment needs Compensation or PCB consultant approval
- Exact label and location of the primary assignment flag on the Assignment step</t>
        </is>
      </c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6" t="inlineStr">
        <is>
          <t>Open</t>
        </is>
      </c>
      <c r="R3" s="6" t="inlineStr"/>
    </row>
    <row r="4">
      <c r="A4" s="6" t="n">
        <v>3</v>
      </c>
      <c r="B4" s="6" t="inlineStr">
        <is>
          <t>Assignment Changes</t>
        </is>
      </c>
      <c r="C4" s="6" t="inlineStr">
        <is>
          <t>Change Working Hours</t>
        </is>
      </c>
      <c r="D4" s="6" t="inlineStr">
        <is>
          <t>Live</t>
        </is>
      </c>
      <c r="E4" s="6" t="inlineStr">
        <is>
          <t>Vanderbilt SME sources</t>
        </is>
      </c>
      <c r="F4" s="10" t="inlineStr">
        <is>
          <t>Open</t>
        </is>
      </c>
      <c r="G4" s="6" t="inlineStr">
        <is>
          <t>4 min</t>
        </is>
      </c>
      <c r="H4" s="6" t="inlineStr">
        <is>
          <t>- The reason name for a change in working hours
- That a regular HCM (not a super-user) sees Our Workforce and this quick action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6" t="inlineStr">
        <is>
          <t>Open</t>
        </is>
      </c>
      <c r="R4" s="6" t="inlineStr"/>
    </row>
    <row r="5">
      <c r="A5" s="6" t="n">
        <v>4</v>
      </c>
      <c r="B5" s="6" t="inlineStr">
        <is>
          <t>Assignment Changes</t>
        </is>
      </c>
      <c r="C5" s="6" t="inlineStr">
        <is>
          <t>Direct Reports</t>
        </is>
      </c>
      <c r="D5" s="6" t="inlineStr">
        <is>
          <t>Live</t>
        </is>
      </c>
      <c r="E5" s="6" t="inlineStr">
        <is>
          <t>Oracle docs, pending SME review</t>
        </is>
      </c>
      <c r="F5" s="10" t="inlineStr">
        <is>
          <t>Open</t>
        </is>
      </c>
      <c r="G5" s="6" t="inlineStr">
        <is>
          <t>4 min</t>
        </is>
      </c>
      <c r="H5" s="6" t="inlineStr">
        <is>
          <t>- Confirm whether a new manager needs a manager role or UKG approver setup at Vanderbilt; Oracle notes the Direct Reports task does not grant manager roles.
- Direct Reports action is available from Employment Info for HCMs (vs. only My Team)
- Whether a new manager needs a manager role or UKG approver setup, and who requests it
- Whether Vanderbilt's Redwood Direct Reports page is enabled (profile ORA_PER_EMPL_MNG_DIR_REDWOOD_ENABLED)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6" t="inlineStr">
        <is>
          <t>Open</t>
        </is>
      </c>
      <c r="R5" s="6" t="inlineStr"/>
    </row>
    <row r="6">
      <c r="A6" s="6" t="n">
        <v>5</v>
      </c>
      <c r="B6" s="6" t="inlineStr">
        <is>
          <t>Assignment Changes</t>
        </is>
      </c>
      <c r="C6" s="6" t="inlineStr">
        <is>
          <t>Promote</t>
        </is>
      </c>
      <c r="D6" s="6" t="inlineStr">
        <is>
          <t>Live</t>
        </is>
      </c>
      <c r="E6" s="6" t="inlineStr">
        <is>
          <t>Oracle docs, pending SME review</t>
        </is>
      </c>
      <c r="F6" s="10" t="inlineStr">
        <is>
          <t>Open</t>
        </is>
      </c>
      <c r="G6" s="6" t="inlineStr">
        <is>
          <t>6 min</t>
        </is>
      </c>
      <c r="H6" s="6" t="inlineStr">
        <is>
          <t>- Confirm Vanderbilt's promotion action reasons and any Compensation approval needed for the new salary.
- Promote and Promote and Change Position both appear in Our Workforce &gt; Quick Actions for HCMs
- Vanderbilt promotion action reasons
- Whether a promotion salary needs Compensation approval or a memo
- Whether HCMs are expected to use Promote and Change Position or request position changes separately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6" t="inlineStr">
        <is>
          <t>Open</t>
        </is>
      </c>
      <c r="R6" s="6" t="inlineStr"/>
    </row>
    <row r="7">
      <c r="A7" s="6" t="n">
        <v>6</v>
      </c>
      <c r="B7" s="6" t="inlineStr">
        <is>
          <t>Transfers and Promotions</t>
        </is>
      </c>
      <c r="C7" s="6" t="inlineStr">
        <is>
          <t>Transfer or promotion from a requisition</t>
        </is>
      </c>
      <c r="D7" s="6" t="inlineStr">
        <is>
          <t>Live</t>
        </is>
      </c>
      <c r="E7" s="6" t="inlineStr">
        <is>
          <t>Vanderbilt SME sources</t>
        </is>
      </c>
      <c r="F7" s="10" t="inlineStr">
        <is>
          <t>Open</t>
        </is>
      </c>
      <c r="G7" s="6" t="inlineStr">
        <is>
          <t>3 min</t>
        </is>
      </c>
      <c r="H7" s="6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6" t="inlineStr">
        <is>
          <t>Open</t>
        </is>
      </c>
      <c r="R7" s="6" t="inlineStr"/>
    </row>
    <row r="8">
      <c r="A8" s="6" t="n">
        <v>7</v>
      </c>
      <c r="B8" s="6" t="inlineStr">
        <is>
          <t>Transfers and Promotions</t>
        </is>
      </c>
      <c r="C8" s="6" t="inlineStr">
        <is>
          <t>Transfer or promotion without a requisition</t>
        </is>
      </c>
      <c r="D8" s="6" t="inlineStr">
        <is>
          <t>Live</t>
        </is>
      </c>
      <c r="E8" s="6" t="inlineStr">
        <is>
          <t>Vanderbilt SME sources</t>
        </is>
      </c>
      <c r="F8" s="10" t="inlineStr">
        <is>
          <t>Open</t>
        </is>
      </c>
      <c r="G8" s="6" t="inlineStr">
        <is>
          <t>5 min</t>
        </is>
      </c>
      <c r="H8" s="6" t="inlineStr">
        <is>
          <t>- The 5-business-day internal posting rule for internal moves is a separate initiative.
- The transfer type names (organization transfer, transfer to faculty status)
- That a regular HCM (not a super-user) sees Our Workforce and this quick action</t>
        </is>
      </c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6" t="inlineStr">
        <is>
          <t>Open</t>
        </is>
      </c>
      <c r="R8" s="6" t="inlineStr"/>
    </row>
    <row r="9">
      <c r="A9" s="6" t="n">
        <v>8</v>
      </c>
      <c r="B9" s="6" t="inlineStr">
        <is>
          <t>Offboarding</t>
        </is>
      </c>
      <c r="C9" s="6" t="inlineStr">
        <is>
          <t>Voluntary termination</t>
        </is>
      </c>
      <c r="D9" s="6" t="inlineStr">
        <is>
          <t>Live</t>
        </is>
      </c>
      <c r="E9" s="6" t="inlineStr">
        <is>
          <t>Vanderbilt SME sources</t>
        </is>
      </c>
      <c r="F9" s="10" t="inlineStr">
        <is>
          <t>Open</t>
        </is>
      </c>
      <c r="G9" s="6" t="inlineStr">
        <is>
          <t>7 min</t>
        </is>
      </c>
      <c r="H9" s="6" t="inlineStr">
        <is>
          <t>- The seniority dates screen is no longer editable since Redwood. Skip it for now.
- The Terminate Employment section names
- The revoke access, rehire, and payroll eligibility field labels
- Whether the seniority dates screen still appears
- That a regular HCM (not a super-user) sees Our Workforce and this quick action</t>
        </is>
      </c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inlineStr">
        <is>
          <t>Open</t>
        </is>
      </c>
      <c r="R9" s="6" t="inlineStr"/>
    </row>
    <row r="10">
      <c r="A10" s="6" t="n">
        <v>9</v>
      </c>
      <c r="B10" s="6" t="inlineStr">
        <is>
          <t>Offboarding</t>
        </is>
      </c>
      <c r="C10" s="6" t="inlineStr">
        <is>
          <t>Reduction in force (RIF)</t>
        </is>
      </c>
      <c r="D10" s="6" t="inlineStr">
        <is>
          <t>Live</t>
        </is>
      </c>
      <c r="E10" s="6" t="inlineStr">
        <is>
          <t>Vanderbilt SME sources</t>
        </is>
      </c>
      <c r="F10" s="10" t="inlineStr">
        <is>
          <t>Open</t>
        </is>
      </c>
      <c r="G10" s="6" t="inlineStr">
        <is>
          <t>7 min</t>
        </is>
      </c>
      <c r="H10" s="6" t="inlineStr">
        <is>
          <t>- The Terminate Employment section names
- The revoke access, rehire, and payroll eligibility field labels
- Whether the seniority dates screen still appears
- That a regular HCM (not a super-user) sees Our Workforce and this quick action</t>
        </is>
      </c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6" t="inlineStr">
        <is>
          <t>Open</t>
        </is>
      </c>
      <c r="R10" s="6" t="inlineStr"/>
    </row>
    <row r="11">
      <c r="A11" s="6" t="n">
        <v>10</v>
      </c>
      <c r="B11" s="6" t="inlineStr">
        <is>
          <t>Offboarding</t>
        </is>
      </c>
      <c r="C11" s="6" t="inlineStr">
        <is>
          <t>Involuntary termination (misconduct)</t>
        </is>
      </c>
      <c r="D11" s="6" t="inlineStr">
        <is>
          <t>Live</t>
        </is>
      </c>
      <c r="E11" s="6" t="inlineStr">
        <is>
          <t>Vanderbilt SME sources</t>
        </is>
      </c>
      <c r="F11" s="10" t="inlineStr">
        <is>
          <t>Open</t>
        </is>
      </c>
      <c r="G11" s="6" t="inlineStr">
        <is>
          <t>6 min</t>
        </is>
      </c>
      <c r="H11" s="6" t="inlineStr">
        <is>
          <t>- Confirm the exact name of the rehire eligibility field in Vanderbilt's Oracle.
- The Terminate Employment section names
- The revoke access, rehire, and payroll eligibility field labels
- Whether the seniority dates screen still appears
- The exact rehire eligibility field name
- That a regular HCM (not a super-user) sees Our Workforce and this quick action</t>
        </is>
      </c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6" t="inlineStr">
        <is>
          <t>Open</t>
        </is>
      </c>
      <c r="R11" s="6" t="inlineStr"/>
    </row>
    <row r="12">
      <c r="A12" s="6" t="n">
        <v>11</v>
      </c>
      <c r="B12" s="6" t="inlineStr">
        <is>
          <t>Offboarding</t>
        </is>
      </c>
      <c r="C12" s="6" t="inlineStr">
        <is>
          <t>Ending assignments vs. terminating employment</t>
        </is>
      </c>
      <c r="D12" s="6" t="inlineStr">
        <is>
          <t>Live</t>
        </is>
      </c>
      <c r="E12" s="6" t="inlineStr">
        <is>
          <t>Oracle docs, pending SME review</t>
        </is>
      </c>
      <c r="F12" s="10" t="inlineStr">
        <is>
          <t>Open</t>
        </is>
      </c>
      <c r="G12" s="6" t="inlineStr">
        <is>
          <t>4 min</t>
        </is>
      </c>
      <c r="H12" s="6" t="inlineStr">
        <is>
          <t>- Confirm which End Assignment entry point Vanderbilt uses (Change Assignment &gt; End Assignment or the termination page), since it depends on the termination version configured.
- Which termination version Vanderbilt uses and where End Assignment lives (Change Assignment &gt; End Assignment or the termination page)
- Whether the cited facuk guide page matches US behavior (it is from a localized guide)</t>
        </is>
      </c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inlineStr">
        <is>
          <t>Open</t>
        </is>
      </c>
      <c r="R12" s="6" t="inlineStr"/>
    </row>
    <row r="13">
      <c r="A13" s="6" t="n">
        <v>12</v>
      </c>
      <c r="B13" s="6" t="inlineStr">
        <is>
          <t>Offboarding</t>
        </is>
      </c>
      <c r="C13" s="6" t="inlineStr">
        <is>
          <t>How to handle a termination when an employee has multiple assignments</t>
        </is>
      </c>
      <c r="D13" s="6" t="inlineStr">
        <is>
          <t>Live</t>
        </is>
      </c>
      <c r="E13" s="6" t="inlineStr">
        <is>
          <t>Oracle docs, pending SME review</t>
        </is>
      </c>
      <c r="F13" s="10" t="inlineStr">
        <is>
          <t>Open</t>
        </is>
      </c>
      <c r="G13" s="6" t="inlineStr">
        <is>
          <t>5 min</t>
        </is>
      </c>
      <c r="H13" s="6" t="inlineStr">
        <is>
          <t>- Confirm Vanderbilt's rule for who submits when the jobs sit in different business units.
- Who submits when the assignments are in different business units
- Whether the primary flag change can be made in the same transaction as End Assignment</t>
        </is>
      </c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6" t="inlineStr">
        <is>
          <t>Open</t>
        </is>
      </c>
      <c r="R13" s="6" t="inlineStr"/>
    </row>
    <row r="14">
      <c r="A14" s="6" t="n">
        <v>13</v>
      </c>
      <c r="B14" s="6" t="inlineStr">
        <is>
          <t>Offboarding</t>
        </is>
      </c>
      <c r="C14" s="6" t="inlineStr">
        <is>
          <t>Offboarding process requirements</t>
        </is>
      </c>
      <c r="D14" s="6" t="inlineStr">
        <is>
          <t>Live</t>
        </is>
      </c>
      <c r="E14" s="6" t="inlineStr">
        <is>
          <t>Oracle docs, pending SME review</t>
        </is>
      </c>
      <c r="F14" s="10" t="inlineStr">
        <is>
          <t>Open</t>
        </is>
      </c>
      <c r="G14" s="6" t="inlineStr">
        <is>
          <t>6 min</t>
        </is>
      </c>
      <c r="H14" s="6" t="inlineStr">
        <is>
          <t>- Confirm Vanderbilt's process and owners for equipment return, the exit survey, and final timecard approval for non-exempt employees.
- Owner and process for equipment return
- Whether Vanderbilt has an exit survey and who sends it
- Final timecard approval steps and deadline for non-exempt leavers
- Whether HCMs must end costing manually or it ends with the assignment
- Which Document Records types are expected at offboarding</t>
        </is>
      </c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6" t="inlineStr">
        <is>
          <t>Open</t>
        </is>
      </c>
      <c r="R14" s="6" t="inlineStr"/>
    </row>
  </sheetData>
  <autoFilter ref="A1:R14"/>
  <conditionalFormatting sqref="J2:J14">
    <cfRule type="cellIs" priority="1" operator="equal" dxfId="0">
      <formula>"Keep"</formula>
    </cfRule>
    <cfRule type="cellIs" priority="2" operator="equal" dxfId="1">
      <formula>"Change"</formula>
    </cfRule>
    <cfRule type="cellIs" priority="3" operator="equal" dxfId="2">
      <formula>"Remove"</formula>
    </cfRule>
    <cfRule type="cellIs" priority="4" operator="equal" dxfId="3">
      <formula>"Merge"</formula>
    </cfRule>
  </conditionalFormatting>
  <conditionalFormatting sqref="D2:D14">
    <cfRule type="cellIs" priority="5" operator="equal" dxfId="4">
      <formula>"Coming soon"</formula>
    </cfRule>
  </conditionalFormatting>
  <dataValidations count="6">
    <dataValidation sqref="J2:J14" showDropDown="0" showInputMessage="0" showErrorMessage="1" allowBlank="1" error="Pick a value from the list." type="list">
      <formula1>=Lists!$A$1:$A$4</formula1>
    </dataValidation>
    <dataValidation sqref="L2:L14" showDropDown="0" showInputMessage="0" showErrorMessage="1" allowBlank="1" error="Pick a value from the list." type="list">
      <formula1>=Lists!$B$1:$B$4</formula1>
    </dataValidation>
    <dataValidation sqref="M2:M14" showDropDown="0" showInputMessage="0" showErrorMessage="1" allowBlank="1" error="Pick a value from the list." type="list">
      <formula1>=Lists!$B$1:$B$4</formula1>
    </dataValidation>
    <dataValidation sqref="N2:N14" showDropDown="0" showInputMessage="0" showErrorMessage="1" allowBlank="1" error="Pick a value from the list." type="list">
      <formula1>=Lists!$B$1:$B$4</formula1>
    </dataValidation>
    <dataValidation sqref="P2:P14" showDropDown="0" showInputMessage="0" showErrorMessage="1" allowBlank="1" error="Pick a value from the list." type="list">
      <formula1>=Lists!$C$1:$C$3</formula1>
    </dataValidation>
    <dataValidation sqref="Q2:Q14" showDropDown="0" showInputMessage="0" showErrorMessage="1" allowBlank="1" error="Pick a value from the list." type="list">
      <formula1>=Lists!$D$1:$D$4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FAE70"/>
    <outlinePr summaryBelow="1" summaryRight="1"/>
    <pageSetUpPr fitToPage="1"/>
  </sheetPr>
  <dimension ref="A1:R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2" customWidth="1" min="4" max="4"/>
    <col width="22" customWidth="1" min="5" max="5"/>
    <col width="9" customWidth="1" min="6" max="6"/>
    <col width="8" customWidth="1" min="7" max="7"/>
    <col width="44" customWidth="1" min="8" max="8"/>
    <col width="14" customWidth="1" min="9" max="9"/>
    <col width="12" customWidth="1" min="10" max="10"/>
    <col width="24" customWidth="1" min="11" max="11"/>
    <col width="14" customWidth="1" min="12" max="12"/>
    <col width="13" customWidth="1" min="13" max="13"/>
    <col width="13" customWidth="1" min="14" max="14"/>
    <col width="50" customWidth="1" min="15" max="15"/>
    <col width="10" customWidth="1" min="16" max="16"/>
    <col width="12" customWidth="1" min="17" max="17"/>
    <col width="34" customWidth="1" min="18" max="18"/>
  </cols>
  <sheetData>
    <row r="1" ht="34" customHeight="1">
      <c r="A1" s="5" t="inlineStr">
        <is>
          <t>#</t>
        </is>
      </c>
      <c r="B1" s="5" t="inlineStr">
        <is>
          <t>Subtopic</t>
        </is>
      </c>
      <c r="C1" s="5" t="inlineStr">
        <is>
          <t>Course topic</t>
        </is>
      </c>
      <c r="D1" s="5" t="inlineStr">
        <is>
          <t>Course status</t>
        </is>
      </c>
      <c r="E1" s="5" t="inlineStr">
        <is>
          <t>Source</t>
        </is>
      </c>
      <c r="F1" s="5" t="inlineStr">
        <is>
          <t>Link</t>
        </is>
      </c>
      <c r="G1" s="5" t="inlineStr">
        <is>
          <t>Time</t>
        </is>
      </c>
      <c r="H1" s="5" t="inlineStr">
        <is>
          <t>Open items to confirm</t>
        </is>
      </c>
      <c r="I1" s="5" t="inlineStr">
        <is>
          <t>Reviewer</t>
        </is>
      </c>
      <c r="J1" s="5" t="inlineStr">
        <is>
          <t>Decision</t>
        </is>
      </c>
      <c r="K1" s="5" t="inlineStr">
        <is>
          <t>Merge with</t>
        </is>
      </c>
      <c r="L1" s="5" t="inlineStr">
        <is>
          <t>Steps accurate?</t>
        </is>
      </c>
      <c r="M1" s="5" t="inlineStr">
        <is>
          <t>Job aid OK?</t>
        </is>
      </c>
      <c r="N1" s="5" t="inlineStr">
        <is>
          <t>Quiz OK?</t>
        </is>
      </c>
      <c r="O1" s="5" t="inlineStr">
        <is>
          <t>Notes or changes needed</t>
        </is>
      </c>
      <c r="P1" s="5" t="inlineStr">
        <is>
          <t>Priority</t>
        </is>
      </c>
      <c r="Q1" s="5" t="inlineStr">
        <is>
          <t>PCB status</t>
        </is>
      </c>
      <c r="R1" s="5" t="inlineStr">
        <is>
          <t>PCB response</t>
        </is>
      </c>
    </row>
    <row r="2">
      <c r="A2" s="6" t="n">
        <v>1</v>
      </c>
      <c r="B2" s="6" t="inlineStr">
        <is>
          <t>Leave Management</t>
        </is>
      </c>
      <c r="C2" s="6" t="inlineStr">
        <is>
          <t>Leave status updates</t>
        </is>
      </c>
      <c r="D2" s="6" t="inlineStr">
        <is>
          <t>Coming soon</t>
        </is>
      </c>
      <c r="E2" s="6" t="inlineStr">
        <is>
          <t>No content yet</t>
        </is>
      </c>
      <c r="F2" s="6" t="inlineStr"/>
      <c r="G2" s="6" t="inlineStr">
        <is>
          <t>10 min</t>
        </is>
      </c>
      <c r="H2" s="6" t="inlineStr">
        <is>
          <t>Needs a source: SME session, guide, or recording.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6" t="inlineStr">
        <is>
          <t>Open</t>
        </is>
      </c>
      <c r="R2" s="6" t="inlineStr"/>
    </row>
    <row r="3">
      <c r="A3" s="6" t="n">
        <v>2</v>
      </c>
      <c r="B3" s="6" t="inlineStr">
        <is>
          <t>Leave Management</t>
        </is>
      </c>
      <c r="C3" s="6" t="inlineStr">
        <is>
          <t>Entering and managing FMLA/TMLA transactions (continuous vs. intermittent)</t>
        </is>
      </c>
      <c r="D3" s="6" t="inlineStr">
        <is>
          <t>Live</t>
        </is>
      </c>
      <c r="E3" s="6" t="inlineStr">
        <is>
          <t>Oracle docs, pending SME review</t>
        </is>
      </c>
      <c r="F3" s="10" t="inlineStr">
        <is>
          <t>Open</t>
        </is>
      </c>
      <c r="G3" s="6" t="inlineStr">
        <is>
          <t>7 min</t>
        </is>
      </c>
      <c r="H3" s="6" t="inlineStr">
        <is>
          <t>- Which Oracle absence types Vanderbilt uses for FMLA, TMLA (TPLA), and FMLA running at the same time as state leave, and who enters intermittent occurrences, must be confirmed.
- Vanderbilt's leave process is pending review by the Leave SME.
- Oracle absence types Vanderbilt uses for FMLA, TMLA/TPLA, and concurrent FMLA and state leave
- Who enters intermittent occurrences (HCM, employee, or Leave team) and how often
- Whether FMLA is tracked in hours or days at Vanderbilt and which 12-month period method is used
- Current TPLA eligibility rules and leave length in T.C.A. 4-21-408 (confirm with Leave SME or legal)
- Whether a continuous FMLA/TMLA leave also requires a leave status change in Change Assignment
- The Leave SME (Leave SME) review of the full FMLA/TMLA process</t>
        </is>
      </c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6" t="inlineStr">
        <is>
          <t>Open</t>
        </is>
      </c>
      <c r="R3" s="6" t="inlineStr"/>
    </row>
    <row r="4">
      <c r="A4" s="6" t="n">
        <v>3</v>
      </c>
      <c r="B4" s="6" t="inlineStr">
        <is>
          <t>Leave Management</t>
        </is>
      </c>
      <c r="C4" s="6" t="inlineStr">
        <is>
          <t>Differences in processing leaves for monthly vs. biweekly employees</t>
        </is>
      </c>
      <c r="D4" s="6" t="inlineStr">
        <is>
          <t>Coming soon</t>
        </is>
      </c>
      <c r="E4" s="6" t="inlineStr">
        <is>
          <t>No content yet</t>
        </is>
      </c>
      <c r="F4" s="6" t="inlineStr"/>
      <c r="G4" s="6" t="inlineStr">
        <is>
          <t>10 min</t>
        </is>
      </c>
      <c r="H4" s="6" t="inlineStr">
        <is>
          <t>Needs a source: SME session, guide, or recording.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6" t="inlineStr">
        <is>
          <t>Open</t>
        </is>
      </c>
      <c r="R4" s="6" t="inlineStr"/>
    </row>
    <row r="5">
      <c r="A5" s="6" t="n">
        <v>4</v>
      </c>
      <c r="B5" s="6" t="inlineStr">
        <is>
          <t>Leave Management</t>
        </is>
      </c>
      <c r="C5" s="6" t="inlineStr">
        <is>
          <t>Leave administration workflows within Oracle</t>
        </is>
      </c>
      <c r="D5" s="6" t="inlineStr">
        <is>
          <t>Live</t>
        </is>
      </c>
      <c r="E5" s="6" t="inlineStr">
        <is>
          <t>Oracle docs, pending SME review</t>
        </is>
      </c>
      <c r="F5" s="10" t="inlineStr">
        <is>
          <t>Open</t>
        </is>
      </c>
      <c r="G5" s="6" t="inlineStr">
        <is>
          <t>6 min</t>
        </is>
      </c>
      <c r="H5" s="6" t="inlineStr">
        <is>
          <t>- Vanderbilt's approval routing for each absence type (who approves, whether HR or the Leave team is in the chain, what happens if an approver does not act) must be confirmed.
- Vanderbilt's leave process is pending review by the Leave SME.
- Approval routing for each Vanderbilt absence type (approvers, Leave team involvement)
- Whether absence approvals expire or escalate, and the action on expiry
- Whether HCMs can see and act on requests for their area in the notifications bell
- Whether withdrawals of approved absences require approval at Vanderbilt
- The Leave SME (Leave SME) review of the full workflow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6" t="inlineStr">
        <is>
          <t>Open</t>
        </is>
      </c>
      <c r="R5" s="6" t="inlineStr"/>
    </row>
    <row r="6">
      <c r="A6" s="6" t="n">
        <v>5</v>
      </c>
      <c r="B6" s="6" t="inlineStr">
        <is>
          <t>Leave Management</t>
        </is>
      </c>
      <c r="C6" s="6" t="inlineStr">
        <is>
          <t>Managing Exempt Time Off in Oracle</t>
        </is>
      </c>
      <c r="D6" s="6" t="inlineStr">
        <is>
          <t>Live</t>
        </is>
      </c>
      <c r="E6" s="6" t="inlineStr">
        <is>
          <t>Oracle docs, pending SME review</t>
        </is>
      </c>
      <c r="F6" s="10" t="inlineStr">
        <is>
          <t>Open</t>
        </is>
      </c>
      <c r="G6" s="6" t="inlineStr">
        <is>
          <t>5 min</t>
        </is>
      </c>
      <c r="H6" s="6" t="inlineStr">
        <is>
          <t>- Which quick actions HCMs see under Our Workforce, and whether HCMs approve exempt time off or only managers do, must be confirmed on screen.
- Vanderbilt's leave process is pending review by the Leave SME.
- Which absence quick actions (Add Absence, Existing Absences, Absence Balance) HCMs see under Our Workforce &gt; Quick Actions
- Absence types and plans available to exempt employees (vacation, sick, etc.)
- Whether exempt time off can be entered in partial days or hours
- The Leave SME (Leave SME) review of the full process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6" t="inlineStr">
        <is>
          <t>Open</t>
        </is>
      </c>
      <c r="R6" s="6" t="inlineStr"/>
    </row>
  </sheetData>
  <autoFilter ref="A1:R6"/>
  <conditionalFormatting sqref="J2:J6">
    <cfRule type="cellIs" priority="1" operator="equal" dxfId="0">
      <formula>"Keep"</formula>
    </cfRule>
    <cfRule type="cellIs" priority="2" operator="equal" dxfId="1">
      <formula>"Change"</formula>
    </cfRule>
    <cfRule type="cellIs" priority="3" operator="equal" dxfId="2">
      <formula>"Remove"</formula>
    </cfRule>
    <cfRule type="cellIs" priority="4" operator="equal" dxfId="3">
      <formula>"Merge"</formula>
    </cfRule>
  </conditionalFormatting>
  <conditionalFormatting sqref="D2:D6">
    <cfRule type="cellIs" priority="5" operator="equal" dxfId="4">
      <formula>"Coming soon"</formula>
    </cfRule>
  </conditionalFormatting>
  <dataValidations count="6">
    <dataValidation sqref="J2:J6" showDropDown="0" showInputMessage="0" showErrorMessage="1" allowBlank="1" error="Pick a value from the list." type="list">
      <formula1>=Lists!$A$1:$A$4</formula1>
    </dataValidation>
    <dataValidation sqref="L2:L6" showDropDown="0" showInputMessage="0" showErrorMessage="1" allowBlank="1" error="Pick a value from the list." type="list">
      <formula1>=Lists!$B$1:$B$4</formula1>
    </dataValidation>
    <dataValidation sqref="M2:M6" showDropDown="0" showInputMessage="0" showErrorMessage="1" allowBlank="1" error="Pick a value from the list." type="list">
      <formula1>=Lists!$B$1:$B$4</formula1>
    </dataValidation>
    <dataValidation sqref="N2:N6" showDropDown="0" showInputMessage="0" showErrorMessage="1" allowBlank="1" error="Pick a value from the list." type="list">
      <formula1>=Lists!$B$1:$B$4</formula1>
    </dataValidation>
    <dataValidation sqref="P2:P6" showDropDown="0" showInputMessage="0" showErrorMessage="1" allowBlank="1" error="Pick a value from the list." type="list">
      <formula1>=Lists!$C$1:$C$3</formula1>
    </dataValidation>
    <dataValidation sqref="Q2:Q6" showDropDown="0" showInputMessage="0" showErrorMessage="1" allowBlank="1" error="Pick a value from the list." type="list">
      <formula1>=Lists!$D$1:$D$4</formula1>
    </dataValidation>
  </dataValidations>
  <hyperlinks>
    <hyperlink xmlns:r="http://schemas.openxmlformats.org/officeDocument/2006/relationships" ref="F3" r:id="rId1"/>
    <hyperlink xmlns:r="http://schemas.openxmlformats.org/officeDocument/2006/relationships" ref="F5" r:id="rId2"/>
    <hyperlink xmlns:r="http://schemas.openxmlformats.org/officeDocument/2006/relationships" ref="F6" r:id="rId3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FAE70"/>
    <outlinePr summaryBelow="1" summaryRight="1"/>
    <pageSetUpPr fitToPage="1"/>
  </sheetPr>
  <dimension ref="A1:R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2" customWidth="1" min="4" max="4"/>
    <col width="22" customWidth="1" min="5" max="5"/>
    <col width="9" customWidth="1" min="6" max="6"/>
    <col width="8" customWidth="1" min="7" max="7"/>
    <col width="44" customWidth="1" min="8" max="8"/>
    <col width="14" customWidth="1" min="9" max="9"/>
    <col width="12" customWidth="1" min="10" max="10"/>
    <col width="24" customWidth="1" min="11" max="11"/>
    <col width="14" customWidth="1" min="12" max="12"/>
    <col width="13" customWidth="1" min="13" max="13"/>
    <col width="13" customWidth="1" min="14" max="14"/>
    <col width="50" customWidth="1" min="15" max="15"/>
    <col width="10" customWidth="1" min="16" max="16"/>
    <col width="12" customWidth="1" min="17" max="17"/>
    <col width="34" customWidth="1" min="18" max="18"/>
  </cols>
  <sheetData>
    <row r="1" ht="34" customHeight="1">
      <c r="A1" s="5" t="inlineStr">
        <is>
          <t>#</t>
        </is>
      </c>
      <c r="B1" s="5" t="inlineStr">
        <is>
          <t>Subtopic</t>
        </is>
      </c>
      <c r="C1" s="5" t="inlineStr">
        <is>
          <t>Course topic</t>
        </is>
      </c>
      <c r="D1" s="5" t="inlineStr">
        <is>
          <t>Course status</t>
        </is>
      </c>
      <c r="E1" s="5" t="inlineStr">
        <is>
          <t>Source</t>
        </is>
      </c>
      <c r="F1" s="5" t="inlineStr">
        <is>
          <t>Link</t>
        </is>
      </c>
      <c r="G1" s="5" t="inlineStr">
        <is>
          <t>Time</t>
        </is>
      </c>
      <c r="H1" s="5" t="inlineStr">
        <is>
          <t>Open items to confirm</t>
        </is>
      </c>
      <c r="I1" s="5" t="inlineStr">
        <is>
          <t>Reviewer</t>
        </is>
      </c>
      <c r="J1" s="5" t="inlineStr">
        <is>
          <t>Decision</t>
        </is>
      </c>
      <c r="K1" s="5" t="inlineStr">
        <is>
          <t>Merge with</t>
        </is>
      </c>
      <c r="L1" s="5" t="inlineStr">
        <is>
          <t>Steps accurate?</t>
        </is>
      </c>
      <c r="M1" s="5" t="inlineStr">
        <is>
          <t>Job aid OK?</t>
        </is>
      </c>
      <c r="N1" s="5" t="inlineStr">
        <is>
          <t>Quiz OK?</t>
        </is>
      </c>
      <c r="O1" s="5" t="inlineStr">
        <is>
          <t>Notes or changes needed</t>
        </is>
      </c>
      <c r="P1" s="5" t="inlineStr">
        <is>
          <t>Priority</t>
        </is>
      </c>
      <c r="Q1" s="5" t="inlineStr">
        <is>
          <t>PCB status</t>
        </is>
      </c>
      <c r="R1" s="5" t="inlineStr">
        <is>
          <t>PCB response</t>
        </is>
      </c>
    </row>
    <row r="2">
      <c r="A2" s="6" t="n">
        <v>1</v>
      </c>
      <c r="B2" s="6" t="inlineStr">
        <is>
          <t>Costing Management</t>
        </is>
      </c>
      <c r="C2" s="6" t="inlineStr">
        <is>
          <t>Costing fundamentals</t>
        </is>
      </c>
      <c r="D2" s="6" t="inlineStr">
        <is>
          <t>Live</t>
        </is>
      </c>
      <c r="E2" s="6" t="inlineStr">
        <is>
          <t>Vanderbilt SME sources</t>
        </is>
      </c>
      <c r="F2" s="10" t="inlineStr">
        <is>
          <t>Open</t>
        </is>
      </c>
      <c r="G2" s="6" t="inlineStr">
        <is>
          <t>7 min</t>
        </is>
      </c>
      <c r="H2" s="6" t="inlineStr">
        <is>
          <t>- Where Costing for Persons sits in Redwood
- The Advanced Search and Effective As-of Date labels
- The Actions and Edit menu labels
- That a regular HCM (not a super-user) sees Our Workforce and this quick action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6" t="inlineStr">
        <is>
          <t>Open</t>
        </is>
      </c>
      <c r="R2" s="6" t="inlineStr"/>
    </row>
    <row r="3">
      <c r="A3" s="6" t="n">
        <v>2</v>
      </c>
      <c r="B3" s="6" t="inlineStr">
        <is>
          <t>Costing Management</t>
        </is>
      </c>
      <c r="C3" s="6" t="inlineStr">
        <is>
          <t>How employee costing impacts payroll and financial reporting</t>
        </is>
      </c>
      <c r="D3" s="6" t="inlineStr">
        <is>
          <t>Live</t>
        </is>
      </c>
      <c r="E3" s="6" t="inlineStr">
        <is>
          <t>Oracle docs, pending SME review</t>
        </is>
      </c>
      <c r="F3" s="10" t="inlineStr">
        <is>
          <t>Open</t>
        </is>
      </c>
      <c r="G3" s="6" t="inlineStr">
        <is>
          <t>6 min</t>
        </is>
      </c>
      <c r="H3" s="6" t="inlineStr">
        <is>
          <t>- Confirm how Vanderbilt handles grant labor distribution and the deadline to fix costing before a payroll run.
- Where Costing for Persons sits in Vanderbilt navigation
- How Vanderbilt distributes grant labor costs (labor schedules or payroll costing)
- Deadline to correct costing before a payroll run and who runs cost adjustments or retroactive costing</t>
        </is>
      </c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6" t="inlineStr">
        <is>
          <t>Open</t>
        </is>
      </c>
      <c r="R3" s="6" t="inlineStr"/>
    </row>
    <row r="4">
      <c r="A4" s="6" t="n">
        <v>3</v>
      </c>
      <c r="B4" s="6" t="inlineStr">
        <is>
          <t>Costing Management</t>
        </is>
      </c>
      <c r="C4" s="6" t="inlineStr">
        <is>
          <t>When costing must be updated</t>
        </is>
      </c>
      <c r="D4" s="6" t="inlineStr">
        <is>
          <t>Live</t>
        </is>
      </c>
      <c r="E4" s="6" t="inlineStr">
        <is>
          <t>Vanderbilt SME sources</t>
        </is>
      </c>
      <c r="F4" s="10" t="inlineStr">
        <is>
          <t>Open</t>
        </is>
      </c>
      <c r="G4" s="6" t="inlineStr">
        <is>
          <t>6 min</t>
        </is>
      </c>
      <c r="H4" s="6" t="inlineStr">
        <is>
          <t>- Where Costing for Persons sits in Redwood
- The Advanced Search and Effective As-of Date labels
- The Actions and Edit menu labels
- That a regular HCM (not a super-user) sees Our Workforce and this quick action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6" t="inlineStr">
        <is>
          <t>Open</t>
        </is>
      </c>
      <c r="R4" s="6" t="inlineStr"/>
    </row>
    <row r="5">
      <c r="A5" s="6" t="n">
        <v>4</v>
      </c>
      <c r="B5" s="6" t="inlineStr">
        <is>
          <t>Costing Management</t>
        </is>
      </c>
      <c r="C5" s="6" t="inlineStr">
        <is>
          <t>Enter costing for a person</t>
        </is>
      </c>
      <c r="D5" s="6" t="inlineStr">
        <is>
          <t>Live</t>
        </is>
      </c>
      <c r="E5" s="6" t="inlineStr">
        <is>
          <t>Vanderbilt SME sources</t>
        </is>
      </c>
      <c r="F5" s="10" t="inlineStr">
        <is>
          <t>Open</t>
        </is>
      </c>
      <c r="G5" s="6" t="inlineStr">
        <is>
          <t>10 min</t>
        </is>
      </c>
      <c r="H5" s="6" t="inlineStr">
        <is>
          <t>- Where Costing for Persons sits in Redwood
- The Advanced Search and Effective As-of Date labels
- The Actions and Edit menu labels
- That a regular HCM (not a super-user) sees Our Workforce and this quick action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6" t="inlineStr">
        <is>
          <t>Open</t>
        </is>
      </c>
      <c r="R5" s="6" t="inlineStr"/>
    </row>
    <row r="6">
      <c r="A6" s="6" t="n">
        <v>5</v>
      </c>
      <c r="B6" s="6" t="inlineStr">
        <is>
          <t>Costing Management</t>
        </is>
      </c>
      <c r="C6" s="6" t="inlineStr">
        <is>
          <t>Change existing costing</t>
        </is>
      </c>
      <c r="D6" s="6" t="inlineStr">
        <is>
          <t>Live</t>
        </is>
      </c>
      <c r="E6" s="6" t="inlineStr">
        <is>
          <t>Vanderbilt SME sources</t>
        </is>
      </c>
      <c r="F6" s="10" t="inlineStr">
        <is>
          <t>Open</t>
        </is>
      </c>
      <c r="G6" s="6" t="inlineStr">
        <is>
          <t>10 min</t>
        </is>
      </c>
      <c r="H6" s="6" t="inlineStr">
        <is>
          <t>- Where Costing for Persons sits in Redwood
- The Advanced Search and Effective As-of Date labels
- The Actions and Edit menu labels
- That a regular HCM (not a super-user) sees Our Workforce and this quick action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6" t="inlineStr">
        <is>
          <t>Open</t>
        </is>
      </c>
      <c r="R6" s="6" t="inlineStr"/>
    </row>
  </sheetData>
  <autoFilter ref="A1:R6"/>
  <conditionalFormatting sqref="J2:J6">
    <cfRule type="cellIs" priority="1" operator="equal" dxfId="0">
      <formula>"Keep"</formula>
    </cfRule>
    <cfRule type="cellIs" priority="2" operator="equal" dxfId="1">
      <formula>"Change"</formula>
    </cfRule>
    <cfRule type="cellIs" priority="3" operator="equal" dxfId="2">
      <formula>"Remove"</formula>
    </cfRule>
    <cfRule type="cellIs" priority="4" operator="equal" dxfId="3">
      <formula>"Merge"</formula>
    </cfRule>
  </conditionalFormatting>
  <conditionalFormatting sqref="D2:D6">
    <cfRule type="cellIs" priority="5" operator="equal" dxfId="4">
      <formula>"Coming soon"</formula>
    </cfRule>
  </conditionalFormatting>
  <dataValidations count="6">
    <dataValidation sqref="J2:J6" showDropDown="0" showInputMessage="0" showErrorMessage="1" allowBlank="1" error="Pick a value from the list." type="list">
      <formula1>=Lists!$A$1:$A$4</formula1>
    </dataValidation>
    <dataValidation sqref="L2:L6" showDropDown="0" showInputMessage="0" showErrorMessage="1" allowBlank="1" error="Pick a value from the list." type="list">
      <formula1>=Lists!$B$1:$B$4</formula1>
    </dataValidation>
    <dataValidation sqref="M2:M6" showDropDown="0" showInputMessage="0" showErrorMessage="1" allowBlank="1" error="Pick a value from the list." type="list">
      <formula1>=Lists!$B$1:$B$4</formula1>
    </dataValidation>
    <dataValidation sqref="N2:N6" showDropDown="0" showInputMessage="0" showErrorMessage="1" allowBlank="1" error="Pick a value from the list." type="list">
      <formula1>=Lists!$B$1:$B$4</formula1>
    </dataValidation>
    <dataValidation sqref="P2:P6" showDropDown="0" showInputMessage="0" showErrorMessage="1" allowBlank="1" error="Pick a value from the list." type="list">
      <formula1>=Lists!$C$1:$C$3</formula1>
    </dataValidation>
    <dataValidation sqref="Q2:Q6" showDropDown="0" showInputMessage="0" showErrorMessage="1" allowBlank="1" error="Pick a value from the list." type="list">
      <formula1>=Lists!$D$1:$D$4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FAE70"/>
    <outlinePr summaryBelow="1" summaryRight="1"/>
    <pageSetUpPr fitToPage="1"/>
  </sheetPr>
  <dimension ref="A1:R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2" customWidth="1" min="4" max="4"/>
    <col width="22" customWidth="1" min="5" max="5"/>
    <col width="9" customWidth="1" min="6" max="6"/>
    <col width="8" customWidth="1" min="7" max="7"/>
    <col width="44" customWidth="1" min="8" max="8"/>
    <col width="14" customWidth="1" min="9" max="9"/>
    <col width="12" customWidth="1" min="10" max="10"/>
    <col width="24" customWidth="1" min="11" max="11"/>
    <col width="14" customWidth="1" min="12" max="12"/>
    <col width="13" customWidth="1" min="13" max="13"/>
    <col width="13" customWidth="1" min="14" max="14"/>
    <col width="50" customWidth="1" min="15" max="15"/>
    <col width="10" customWidth="1" min="16" max="16"/>
    <col width="12" customWidth="1" min="17" max="17"/>
    <col width="34" customWidth="1" min="18" max="18"/>
  </cols>
  <sheetData>
    <row r="1" ht="34" customHeight="1">
      <c r="A1" s="5" t="inlineStr">
        <is>
          <t>#</t>
        </is>
      </c>
      <c r="B1" s="5" t="inlineStr">
        <is>
          <t>Subtopic</t>
        </is>
      </c>
      <c r="C1" s="5" t="inlineStr">
        <is>
          <t>Course topic</t>
        </is>
      </c>
      <c r="D1" s="5" t="inlineStr">
        <is>
          <t>Course status</t>
        </is>
      </c>
      <c r="E1" s="5" t="inlineStr">
        <is>
          <t>Source</t>
        </is>
      </c>
      <c r="F1" s="5" t="inlineStr">
        <is>
          <t>Link</t>
        </is>
      </c>
      <c r="G1" s="5" t="inlineStr">
        <is>
          <t>Time</t>
        </is>
      </c>
      <c r="H1" s="5" t="inlineStr">
        <is>
          <t>Open items to confirm</t>
        </is>
      </c>
      <c r="I1" s="5" t="inlineStr">
        <is>
          <t>Reviewer</t>
        </is>
      </c>
      <c r="J1" s="5" t="inlineStr">
        <is>
          <t>Decision</t>
        </is>
      </c>
      <c r="K1" s="5" t="inlineStr">
        <is>
          <t>Merge with</t>
        </is>
      </c>
      <c r="L1" s="5" t="inlineStr">
        <is>
          <t>Steps accurate?</t>
        </is>
      </c>
      <c r="M1" s="5" t="inlineStr">
        <is>
          <t>Job aid OK?</t>
        </is>
      </c>
      <c r="N1" s="5" t="inlineStr">
        <is>
          <t>Quiz OK?</t>
        </is>
      </c>
      <c r="O1" s="5" t="inlineStr">
        <is>
          <t>Notes or changes needed</t>
        </is>
      </c>
      <c r="P1" s="5" t="inlineStr">
        <is>
          <t>Priority</t>
        </is>
      </c>
      <c r="Q1" s="5" t="inlineStr">
        <is>
          <t>PCB status</t>
        </is>
      </c>
      <c r="R1" s="5" t="inlineStr">
        <is>
          <t>PCB response</t>
        </is>
      </c>
    </row>
    <row r="2">
      <c r="A2" s="6" t="n">
        <v>1</v>
      </c>
      <c r="B2" s="6" t="inlineStr">
        <is>
          <t>Students</t>
        </is>
      </c>
      <c r="C2" s="6" t="inlineStr">
        <is>
          <t>Student hiring process and requirements</t>
        </is>
      </c>
      <c r="D2" s="6" t="inlineStr">
        <is>
          <t>Live</t>
        </is>
      </c>
      <c r="E2" s="6" t="inlineStr">
        <is>
          <t>Oracle docs, pending SME review</t>
        </is>
      </c>
      <c r="F2" s="10" t="inlineStr">
        <is>
          <t>Open</t>
        </is>
      </c>
      <c r="G2" s="6" t="inlineStr">
        <is>
          <t>5 min</t>
        </is>
      </c>
      <c r="H2" s="6" t="inlineStr">
        <is>
          <t>- Vanderbilt owner for student eligibility (enrollment, hour limits, international student work authorization) is not yet documented. Confirm with your PCB consultant.
- Whether student hires come through Oracle Recruiting requisitions or a direct hire in your area.
- Who confirms student eligibility (enrollment, hour limits, work authorization for international students).
- Whether student hires come through ORC requisitions, pending worker conversion, or a direct add in Our Workforce.
- Exact Vanderbilt names of the three student setups as they appear in Oracle.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6" t="inlineStr">
        <is>
          <t>Open</t>
        </is>
      </c>
      <c r="R2" s="6" t="inlineStr"/>
    </row>
    <row r="3">
      <c r="A3" s="6" t="n">
        <v>2</v>
      </c>
      <c r="B3" s="6" t="inlineStr">
        <is>
          <t>Students</t>
        </is>
      </c>
      <c r="C3" s="6" t="inlineStr">
        <is>
          <t>Student Workers</t>
        </is>
      </c>
      <c r="D3" s="6" t="inlineStr">
        <is>
          <t>Live</t>
        </is>
      </c>
      <c r="E3" s="6" t="inlineStr">
        <is>
          <t>Oracle docs, pending SME review</t>
        </is>
      </c>
      <c r="F3" s="10" t="inlineStr">
        <is>
          <t>Open</t>
        </is>
      </c>
      <c r="G3" s="6" t="inlineStr">
        <is>
          <t>6 min</t>
        </is>
      </c>
      <c r="H3" s="6" t="inlineStr">
        <is>
          <t>- Vanderbilt rules on student hour limits, eligibility checks, and who confirms enrollment are not yet documented.
- Exact Quick Action names for adding a Work Relationship and adding an assignment in Our Workforce.
- Student hour limits and end-date rules (term end vs academic year).
- Who decides FLSA status for graduate teaching or research assistants (Compensation?).
- That student pay elements cost to 5130 by default.</t>
        </is>
      </c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6" t="inlineStr">
        <is>
          <t>Open</t>
        </is>
      </c>
      <c r="R3" s="6" t="inlineStr"/>
    </row>
    <row r="4">
      <c r="A4" s="6" t="n">
        <v>3</v>
      </c>
      <c r="B4" s="6" t="inlineStr">
        <is>
          <t>Students</t>
        </is>
      </c>
      <c r="C4" s="6" t="inlineStr">
        <is>
          <t>Student Expense Only</t>
        </is>
      </c>
      <c r="D4" s="6" t="inlineStr">
        <is>
          <t>Coming soon</t>
        </is>
      </c>
      <c r="E4" s="6" t="inlineStr">
        <is>
          <t>No content yet</t>
        </is>
      </c>
      <c r="F4" s="6" t="inlineStr"/>
      <c r="G4" s="6" t="inlineStr">
        <is>
          <t>10 min</t>
        </is>
      </c>
      <c r="H4" s="6" t="inlineStr">
        <is>
          <t>Needs a source: SME session, guide, or recording.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6" t="inlineStr">
        <is>
          <t>Open</t>
        </is>
      </c>
      <c r="R4" s="6" t="inlineStr"/>
    </row>
    <row r="5">
      <c r="A5" s="6" t="n">
        <v>4</v>
      </c>
      <c r="B5" s="6" t="inlineStr">
        <is>
          <t>Students</t>
        </is>
      </c>
      <c r="C5" s="6" t="inlineStr">
        <is>
          <t>Service Free Stipend</t>
        </is>
      </c>
      <c r="D5" s="6" t="inlineStr">
        <is>
          <t>Coming soon</t>
        </is>
      </c>
      <c r="E5" s="6" t="inlineStr">
        <is>
          <t>No content yet</t>
        </is>
      </c>
      <c r="F5" s="6" t="inlineStr"/>
      <c r="G5" s="6" t="inlineStr">
        <is>
          <t>10 min</t>
        </is>
      </c>
      <c r="H5" s="6" t="inlineStr">
        <is>
          <t>Needs a source: SME session, guide, or recording.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6" t="inlineStr">
        <is>
          <t>Open</t>
        </is>
      </c>
      <c r="R5" s="6" t="inlineStr"/>
    </row>
    <row r="6">
      <c r="A6" s="6" t="n">
        <v>5</v>
      </c>
      <c r="B6" s="6" t="inlineStr">
        <is>
          <t>Students</t>
        </is>
      </c>
      <c r="C6" s="6" t="inlineStr">
        <is>
          <t>Add a Work Relationship or add an Assignment?</t>
        </is>
      </c>
      <c r="D6" s="6" t="inlineStr">
        <is>
          <t>Live</t>
        </is>
      </c>
      <c r="E6" s="6" t="inlineStr">
        <is>
          <t>Oracle docs, pending SME review</t>
        </is>
      </c>
      <c r="F6" s="10" t="inlineStr">
        <is>
          <t>Open</t>
        </is>
      </c>
      <c r="G6" s="6" t="inlineStr">
        <is>
          <t>4 min</t>
        </is>
      </c>
      <c r="H6" s="6" t="inlineStr">
        <is>
          <t>- Confirm the exact Quick Action names Vanderbilt uses for these two actions in Our Workforce.
- That the enrolled student (N) record is an Oracle nonworker work relationship and what creates it.
- Exact Quick Action names and whether Add Assignment is enabled for HCMs.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6" t="inlineStr">
        <is>
          <t>Open</t>
        </is>
      </c>
      <c r="R6" s="6" t="inlineStr"/>
    </row>
    <row r="7">
      <c r="A7" s="6" t="n">
        <v>6</v>
      </c>
      <c r="B7" s="6" t="inlineStr">
        <is>
          <t>Faculty</t>
        </is>
      </c>
      <c r="C7" s="6" t="inlineStr">
        <is>
          <t>Faculty hiring process and requirements</t>
        </is>
      </c>
      <c r="D7" s="6" t="inlineStr">
        <is>
          <t>Coming soon</t>
        </is>
      </c>
      <c r="E7" s="6" t="inlineStr">
        <is>
          <t>No content yet</t>
        </is>
      </c>
      <c r="F7" s="6" t="inlineStr"/>
      <c r="G7" s="6" t="inlineStr">
        <is>
          <t>10 min</t>
        </is>
      </c>
      <c r="H7" s="6" t="inlineStr">
        <is>
          <t>Needs a source: SME session, guide, or recording.</t>
        </is>
      </c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6" t="inlineStr">
        <is>
          <t>Open</t>
        </is>
      </c>
      <c r="R7" s="6" t="inlineStr"/>
    </row>
    <row r="8">
      <c r="A8" s="6" t="n">
        <v>7</v>
      </c>
      <c r="B8" s="6" t="inlineStr">
        <is>
          <t>Faculty</t>
        </is>
      </c>
      <c r="C8" s="6" t="inlineStr">
        <is>
          <t>Faculty</t>
        </is>
      </c>
      <c r="D8" s="6" t="inlineStr">
        <is>
          <t>Coming soon</t>
        </is>
      </c>
      <c r="E8" s="6" t="inlineStr">
        <is>
          <t>No content yet</t>
        </is>
      </c>
      <c r="F8" s="6" t="inlineStr"/>
      <c r="G8" s="6" t="inlineStr">
        <is>
          <t>10 min</t>
        </is>
      </c>
      <c r="H8" s="6" t="inlineStr">
        <is>
          <t>Needs a source: SME session, guide, or recording.</t>
        </is>
      </c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6" t="inlineStr">
        <is>
          <t>Open</t>
        </is>
      </c>
      <c r="R8" s="6" t="inlineStr"/>
    </row>
    <row r="9">
      <c r="A9" s="6" t="n">
        <v>8</v>
      </c>
      <c r="B9" s="6" t="inlineStr">
        <is>
          <t>Faculty</t>
        </is>
      </c>
      <c r="C9" s="6" t="inlineStr">
        <is>
          <t>Emeritus</t>
        </is>
      </c>
      <c r="D9" s="6" t="inlineStr">
        <is>
          <t>Coming soon</t>
        </is>
      </c>
      <c r="E9" s="6" t="inlineStr">
        <is>
          <t>No content yet</t>
        </is>
      </c>
      <c r="F9" s="6" t="inlineStr"/>
      <c r="G9" s="6" t="inlineStr">
        <is>
          <t>10 min</t>
        </is>
      </c>
      <c r="H9" s="6" t="inlineStr">
        <is>
          <t>Needs a source: SME session, guide, or recording.</t>
        </is>
      </c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6" t="inlineStr">
        <is>
          <t>Open</t>
        </is>
      </c>
      <c r="R9" s="6" t="inlineStr"/>
    </row>
    <row r="10">
      <c r="A10" s="6" t="n">
        <v>9</v>
      </c>
      <c r="B10" s="6" t="inlineStr">
        <is>
          <t>Faculty</t>
        </is>
      </c>
      <c r="C10" s="6" t="inlineStr">
        <is>
          <t>FERDC</t>
        </is>
      </c>
      <c r="D10" s="6" t="inlineStr">
        <is>
          <t>Coming soon</t>
        </is>
      </c>
      <c r="E10" s="6" t="inlineStr">
        <is>
          <t>No content yet</t>
        </is>
      </c>
      <c r="F10" s="6" t="inlineStr"/>
      <c r="G10" s="6" t="inlineStr">
        <is>
          <t>10 min</t>
        </is>
      </c>
      <c r="H10" s="6" t="inlineStr">
        <is>
          <t>Needs a source: SME session, guide, or recording.</t>
        </is>
      </c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6" t="inlineStr">
        <is>
          <t>Open</t>
        </is>
      </c>
      <c r="R10" s="6" t="inlineStr"/>
    </row>
    <row r="11">
      <c r="A11" s="6" t="n">
        <v>10</v>
      </c>
      <c r="B11" s="6" t="inlineStr">
        <is>
          <t>Changes and Approvals</t>
        </is>
      </c>
      <c r="C11" s="6" t="inlineStr">
        <is>
          <t>Student and faculty assignment changes</t>
        </is>
      </c>
      <c r="D11" s="6" t="inlineStr">
        <is>
          <t>Live</t>
        </is>
      </c>
      <c r="E11" s="6" t="inlineStr">
        <is>
          <t>Oracle docs, pending SME review</t>
        </is>
      </c>
      <c r="F11" s="10" t="inlineStr">
        <is>
          <t>Open</t>
        </is>
      </c>
      <c r="G11" s="6" t="inlineStr">
        <is>
          <t>6 min</t>
        </is>
      </c>
      <c r="H11" s="6" t="inlineStr">
        <is>
          <t>- Vanderbilt's term-change calendar and whether student assignments are ended or extended in bulk.
- That End Assignment appears in the Vanderbilt Redwood Change Assignment When and why step.</t>
        </is>
      </c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6" t="inlineStr">
        <is>
          <t>Open</t>
        </is>
      </c>
      <c r="R11" s="6" t="inlineStr"/>
    </row>
    <row r="12">
      <c r="A12" s="6" t="n">
        <v>11</v>
      </c>
      <c r="B12" s="6" t="inlineStr">
        <is>
          <t>Changes and Approvals</t>
        </is>
      </c>
      <c r="C12" s="6" t="inlineStr">
        <is>
          <t>Oracle transactions and approvals for these populations</t>
        </is>
      </c>
      <c r="D12" s="6" t="inlineStr">
        <is>
          <t>Coming soon</t>
        </is>
      </c>
      <c r="E12" s="6" t="inlineStr">
        <is>
          <t>No content yet</t>
        </is>
      </c>
      <c r="F12" s="6" t="inlineStr"/>
      <c r="G12" s="6" t="inlineStr">
        <is>
          <t>10 min</t>
        </is>
      </c>
      <c r="H12" s="6" t="inlineStr">
        <is>
          <t>Needs a source: SME session, guide, or recording.</t>
        </is>
      </c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inlineStr">
        <is>
          <t>Open</t>
        </is>
      </c>
      <c r="R12" s="6" t="inlineStr"/>
    </row>
  </sheetData>
  <autoFilter ref="A1:R12"/>
  <conditionalFormatting sqref="J2:J12">
    <cfRule type="cellIs" priority="1" operator="equal" dxfId="0">
      <formula>"Keep"</formula>
    </cfRule>
    <cfRule type="cellIs" priority="2" operator="equal" dxfId="1">
      <formula>"Change"</formula>
    </cfRule>
    <cfRule type="cellIs" priority="3" operator="equal" dxfId="2">
      <formula>"Remove"</formula>
    </cfRule>
    <cfRule type="cellIs" priority="4" operator="equal" dxfId="3">
      <formula>"Merge"</formula>
    </cfRule>
  </conditionalFormatting>
  <conditionalFormatting sqref="D2:D12">
    <cfRule type="cellIs" priority="5" operator="equal" dxfId="4">
      <formula>"Coming soon"</formula>
    </cfRule>
  </conditionalFormatting>
  <dataValidations count="6">
    <dataValidation sqref="J2:J12" showDropDown="0" showInputMessage="0" showErrorMessage="1" allowBlank="1" error="Pick a value from the list." type="list">
      <formula1>=Lists!$A$1:$A$4</formula1>
    </dataValidation>
    <dataValidation sqref="L2:L12" showDropDown="0" showInputMessage="0" showErrorMessage="1" allowBlank="1" error="Pick a value from the list." type="list">
      <formula1>=Lists!$B$1:$B$4</formula1>
    </dataValidation>
    <dataValidation sqref="M2:M12" showDropDown="0" showInputMessage="0" showErrorMessage="1" allowBlank="1" error="Pick a value from the list." type="list">
      <formula1>=Lists!$B$1:$B$4</formula1>
    </dataValidation>
    <dataValidation sqref="N2:N12" showDropDown="0" showInputMessage="0" showErrorMessage="1" allowBlank="1" error="Pick a value from the list." type="list">
      <formula1>=Lists!$B$1:$B$4</formula1>
    </dataValidation>
    <dataValidation sqref="P2:P12" showDropDown="0" showInputMessage="0" showErrorMessage="1" allowBlank="1" error="Pick a value from the list." type="list">
      <formula1>=Lists!$C$1:$C$3</formula1>
    </dataValidation>
    <dataValidation sqref="Q2:Q12" showDropDown="0" showInputMessage="0" showErrorMessage="1" allowBlank="1" error="Pick a value from the list." type="list">
      <formula1>=Lists!$D$1:$D$4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6" r:id="rId3"/>
    <hyperlink xmlns:r="http://schemas.openxmlformats.org/officeDocument/2006/relationships" ref="F11" r:id="rId4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CFAE70"/>
    <outlinePr summaryBelow="1" summaryRight="1"/>
    <pageSetUpPr fitToPage="1"/>
  </sheetPr>
  <dimension ref="A1:R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2" customWidth="1" min="4" max="4"/>
    <col width="22" customWidth="1" min="5" max="5"/>
    <col width="9" customWidth="1" min="6" max="6"/>
    <col width="8" customWidth="1" min="7" max="7"/>
    <col width="44" customWidth="1" min="8" max="8"/>
    <col width="14" customWidth="1" min="9" max="9"/>
    <col width="12" customWidth="1" min="10" max="10"/>
    <col width="24" customWidth="1" min="11" max="11"/>
    <col width="14" customWidth="1" min="12" max="12"/>
    <col width="13" customWidth="1" min="13" max="13"/>
    <col width="13" customWidth="1" min="14" max="14"/>
    <col width="50" customWidth="1" min="15" max="15"/>
    <col width="10" customWidth="1" min="16" max="16"/>
    <col width="12" customWidth="1" min="17" max="17"/>
    <col width="34" customWidth="1" min="18" max="18"/>
  </cols>
  <sheetData>
    <row r="1" ht="34" customHeight="1">
      <c r="A1" s="5" t="inlineStr">
        <is>
          <t>#</t>
        </is>
      </c>
      <c r="B1" s="5" t="inlineStr">
        <is>
          <t>Subtopic</t>
        </is>
      </c>
      <c r="C1" s="5" t="inlineStr">
        <is>
          <t>Course topic</t>
        </is>
      </c>
      <c r="D1" s="5" t="inlineStr">
        <is>
          <t>Course status</t>
        </is>
      </c>
      <c r="E1" s="5" t="inlineStr">
        <is>
          <t>Source</t>
        </is>
      </c>
      <c r="F1" s="5" t="inlineStr">
        <is>
          <t>Link</t>
        </is>
      </c>
      <c r="G1" s="5" t="inlineStr">
        <is>
          <t>Time</t>
        </is>
      </c>
      <c r="H1" s="5" t="inlineStr">
        <is>
          <t>Open items to confirm</t>
        </is>
      </c>
      <c r="I1" s="5" t="inlineStr">
        <is>
          <t>Reviewer</t>
        </is>
      </c>
      <c r="J1" s="5" t="inlineStr">
        <is>
          <t>Decision</t>
        </is>
      </c>
      <c r="K1" s="5" t="inlineStr">
        <is>
          <t>Merge with</t>
        </is>
      </c>
      <c r="L1" s="5" t="inlineStr">
        <is>
          <t>Steps accurate?</t>
        </is>
      </c>
      <c r="M1" s="5" t="inlineStr">
        <is>
          <t>Job aid OK?</t>
        </is>
      </c>
      <c r="N1" s="5" t="inlineStr">
        <is>
          <t>Quiz OK?</t>
        </is>
      </c>
      <c r="O1" s="5" t="inlineStr">
        <is>
          <t>Notes or changes needed</t>
        </is>
      </c>
      <c r="P1" s="5" t="inlineStr">
        <is>
          <t>Priority</t>
        </is>
      </c>
      <c r="Q1" s="5" t="inlineStr">
        <is>
          <t>PCB status</t>
        </is>
      </c>
      <c r="R1" s="5" t="inlineStr">
        <is>
          <t>PCB response</t>
        </is>
      </c>
    </row>
    <row r="2">
      <c r="A2" s="6" t="n">
        <v>1</v>
      </c>
      <c r="B2" s="6" t="inlineStr">
        <is>
          <t>Document Records &amp; Reporting</t>
        </is>
      </c>
      <c r="C2" s="6" t="inlineStr">
        <is>
          <t>Add a document record</t>
        </is>
      </c>
      <c r="D2" s="6" t="inlineStr">
        <is>
          <t>Live</t>
        </is>
      </c>
      <c r="E2" s="6" t="inlineStr">
        <is>
          <t>Vanderbilt SME sources</t>
        </is>
      </c>
      <c r="F2" s="10" t="inlineStr">
        <is>
          <t>Open</t>
        </is>
      </c>
      <c r="G2" s="6" t="inlineStr">
        <is>
          <t>7 min</t>
        </is>
      </c>
      <c r="H2" s="6" t="inlineStr">
        <is>
          <t>- The Document Records menu path
- The Add button and attachment control labels
- That a regular HCM (not a super-user) sees Our Workforce and this quick action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6" t="inlineStr">
        <is>
          <t>Open</t>
        </is>
      </c>
      <c r="R2" s="6" t="inlineStr"/>
    </row>
    <row r="3">
      <c r="A3" s="6" t="n">
        <v>2</v>
      </c>
      <c r="B3" s="6" t="inlineStr">
        <is>
          <t>Document Records &amp; Reporting</t>
        </is>
      </c>
      <c r="C3" s="6" t="inlineStr">
        <is>
          <t>Introduction to BI Reporting and the Departmental Playbook</t>
        </is>
      </c>
      <c r="D3" s="6" t="inlineStr">
        <is>
          <t>Live</t>
        </is>
      </c>
      <c r="E3" s="6" t="inlineStr">
        <is>
          <t>Oracle docs, pending SME review</t>
        </is>
      </c>
      <c r="F3" s="10" t="inlineStr">
        <is>
          <t>Open</t>
        </is>
      </c>
      <c r="G3" s="6" t="inlineStr">
        <is>
          <t>5 min</t>
        </is>
      </c>
      <c r="H3" s="6" t="inlineStr">
        <is>
          <t>- Confirm where the Departmental Playbook lives in the catalog (folder path) and whether Vanderbilt exposes Reports and Analytics on a different menu.
- Catalog folder path for the Departmental Playbook
- Whether Reports and Analytics is reached via Navigator &gt; Tools or another Vanderbilt menu
- Full list of Departmental Playbook reports beyond the three costing reports</t>
        </is>
      </c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6" t="inlineStr">
        <is>
          <t>Open</t>
        </is>
      </c>
      <c r="R3" s="6" t="inlineStr"/>
    </row>
    <row r="4">
      <c r="A4" s="6" t="n">
        <v>3</v>
      </c>
      <c r="B4" s="6" t="inlineStr">
        <is>
          <t>Document Records &amp; Reporting</t>
        </is>
      </c>
      <c r="C4" s="6" t="inlineStr">
        <is>
          <t>Reporting 101</t>
        </is>
      </c>
      <c r="D4" s="6" t="inlineStr">
        <is>
          <t>Live</t>
        </is>
      </c>
      <c r="E4" s="6" t="inlineStr">
        <is>
          <t>Oracle docs, pending SME review</t>
        </is>
      </c>
      <c r="F4" s="10" t="inlineStr">
        <is>
          <t>Open</t>
        </is>
      </c>
      <c r="G4" s="6" t="inlineStr">
        <is>
          <t>5 min</t>
        </is>
      </c>
      <c r="H4" s="6" t="inlineStr">
        <is>
          <t>- Confirm which standard HCM reports Vanderbilt expects HCMs to run and where they are stored.
- Which standard HCM reports HCMs are expected to run and their folder
- Whether those reports use an as-of/effective date prompt</t>
        </is>
      </c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6" t="inlineStr">
        <is>
          <t>Open</t>
        </is>
      </c>
      <c r="R4" s="6" t="inlineStr"/>
    </row>
    <row r="5">
      <c r="A5" s="6" t="n">
        <v>4</v>
      </c>
      <c r="B5" s="6" t="inlineStr">
        <is>
          <t>Document Records &amp; Reporting</t>
        </is>
      </c>
      <c r="C5" s="6" t="inlineStr">
        <is>
          <t>Reporting 201</t>
        </is>
      </c>
      <c r="D5" s="6" t="inlineStr">
        <is>
          <t>Live</t>
        </is>
      </c>
      <c r="E5" s="6" t="inlineStr">
        <is>
          <t>Oracle docs, pending SME review</t>
        </is>
      </c>
      <c r="F5" s="10" t="inlineStr">
        <is>
          <t>Open</t>
        </is>
      </c>
      <c r="G5" s="6" t="inlineStr">
        <is>
          <t>6 min</t>
        </is>
      </c>
      <c r="H5" s="6" t="inlineStr">
        <is>
          <t>- Confirm Vanderbilt rules for storing and emailing exported HR data and whether agents are enabled for HCMs.
- Whether HCMs can create agents (More &gt; Schedule) in Vanderbilt's OTBI
- Vanderbilt policy for storing and emailing exported HR data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6" t="inlineStr">
        <is>
          <t>Open</t>
        </is>
      </c>
      <c r="R5" s="6" t="inlineStr"/>
    </row>
    <row r="6">
      <c r="A6" s="6" t="n">
        <v>5</v>
      </c>
      <c r="B6" s="6" t="inlineStr">
        <is>
          <t>Document Records &amp; Reporting</t>
        </is>
      </c>
      <c r="C6" s="6" t="inlineStr">
        <is>
          <t>Reporting 301</t>
        </is>
      </c>
      <c r="D6" s="6" t="inlineStr">
        <is>
          <t>Live</t>
        </is>
      </c>
      <c r="E6" s="6" t="inlineStr">
        <is>
          <t>Oracle docs, pending SME review</t>
        </is>
      </c>
      <c r="F6" s="10" t="inlineStr">
        <is>
          <t>Open</t>
        </is>
      </c>
      <c r="G6" s="6" t="inlineStr">
        <is>
          <t>8 min</t>
        </is>
      </c>
      <c r="H6" s="6" t="inlineStr">
        <is>
          <t>- Confirm which BI roles HCMs have, who can publish to Shared Folders &gt; Custom, and the request process for new shared reports.
- Whether HCMs hold a BI author role (Create &gt; Analysis visible)
- Who can publish to Shared Folders &gt; Custom and the request process
- Recommended subject areas for common HCM questions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6" t="inlineStr">
        <is>
          <t>Open</t>
        </is>
      </c>
      <c r="R6" s="6" t="inlineStr"/>
    </row>
  </sheetData>
  <autoFilter ref="A1:R6"/>
  <conditionalFormatting sqref="J2:J6">
    <cfRule type="cellIs" priority="1" operator="equal" dxfId="0">
      <formula>"Keep"</formula>
    </cfRule>
    <cfRule type="cellIs" priority="2" operator="equal" dxfId="1">
      <formula>"Change"</formula>
    </cfRule>
    <cfRule type="cellIs" priority="3" operator="equal" dxfId="2">
      <formula>"Remove"</formula>
    </cfRule>
    <cfRule type="cellIs" priority="4" operator="equal" dxfId="3">
      <formula>"Merge"</formula>
    </cfRule>
  </conditionalFormatting>
  <conditionalFormatting sqref="D2:D6">
    <cfRule type="cellIs" priority="5" operator="equal" dxfId="4">
      <formula>"Coming soon"</formula>
    </cfRule>
  </conditionalFormatting>
  <dataValidations count="6">
    <dataValidation sqref="J2:J6" showDropDown="0" showInputMessage="0" showErrorMessage="1" allowBlank="1" error="Pick a value from the list." type="list">
      <formula1>=Lists!$A$1:$A$4</formula1>
    </dataValidation>
    <dataValidation sqref="L2:L6" showDropDown="0" showInputMessage="0" showErrorMessage="1" allowBlank="1" error="Pick a value from the list." type="list">
      <formula1>=Lists!$B$1:$B$4</formula1>
    </dataValidation>
    <dataValidation sqref="M2:M6" showDropDown="0" showInputMessage="0" showErrorMessage="1" allowBlank="1" error="Pick a value from the list." type="list">
      <formula1>=Lists!$B$1:$B$4</formula1>
    </dataValidation>
    <dataValidation sqref="N2:N6" showDropDown="0" showInputMessage="0" showErrorMessage="1" allowBlank="1" error="Pick a value from the list." type="list">
      <formula1>=Lists!$B$1:$B$4</formula1>
    </dataValidation>
    <dataValidation sqref="P2:P6" showDropDown="0" showInputMessage="0" showErrorMessage="1" allowBlank="1" error="Pick a value from the list." type="list">
      <formula1>=Lists!$C$1:$C$3</formula1>
    </dataValidation>
    <dataValidation sqref="Q2:Q6" showDropDown="0" showInputMessage="0" showErrorMessage="1" allowBlank="1" error="Pick a value from the list." type="list">
      <formula1>=Lists!$D$1:$D$4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C1C1C"/>
    <outlinePr summaryBelow="1" summaryRight="1"/>
    <pageSetUpPr fitToPage="1"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3" customWidth="1" min="11" max="11"/>
  </cols>
  <sheetData>
    <row r="1" ht="34" customHeight="1">
      <c r="A1" s="5" t="inlineStr">
        <is>
          <t>Section</t>
        </is>
      </c>
      <c r="B1" s="5" t="inlineStr">
        <is>
          <t>Reviewers</t>
        </is>
      </c>
      <c r="C1" s="5" t="inlineStr">
        <is>
          <t>Course topics</t>
        </is>
      </c>
      <c r="D1" s="5" t="inlineStr">
        <is>
          <t>Audited</t>
        </is>
      </c>
      <c r="E1" s="5" t="inlineStr">
        <is>
          <t>% done</t>
        </is>
      </c>
      <c r="F1" s="5" t="inlineStr">
        <is>
          <t>Keep</t>
        </is>
      </c>
      <c r="G1" s="5" t="inlineStr">
        <is>
          <t>Change</t>
        </is>
      </c>
      <c r="H1" s="5" t="inlineStr">
        <is>
          <t>Remove</t>
        </is>
      </c>
      <c r="I1" s="5" t="inlineStr">
        <is>
          <t>Merge</t>
        </is>
      </c>
      <c r="J1" s="5" t="inlineStr">
        <is>
          <t>High priority</t>
        </is>
      </c>
      <c r="K1" s="5" t="inlineStr">
        <is>
          <t>Audit status</t>
        </is>
      </c>
    </row>
    <row r="2">
      <c r="A2" s="6" t="inlineStr">
        <is>
          <t>00 Start Here: HCM Foundations</t>
        </is>
      </c>
      <c r="B2" s="6">
        <f>TRIM('Sign-up'!E2&amp;IF(LEN('Sign-up'!G2)&gt;0,", "&amp;'Sign-up'!G2,""))</f>
        <v/>
      </c>
      <c r="C2" s="6" t="n">
        <v>9</v>
      </c>
      <c r="D2" s="6">
        <f>COUNTA('00 Start Here'!J2:J10)</f>
        <v/>
      </c>
      <c r="E2" s="9">
        <f>IFERROR(D2/C2,0)</f>
        <v/>
      </c>
      <c r="F2" s="6">
        <f>COUNTIF('00 Start Here'!J2:J10,"Keep")</f>
        <v/>
      </c>
      <c r="G2" s="6">
        <f>COUNTIF('00 Start Here'!J2:J10,"Change")</f>
        <v/>
      </c>
      <c r="H2" s="6">
        <f>COUNTIF('00 Start Here'!J2:J10,"Remove")</f>
        <v/>
      </c>
      <c r="I2" s="6">
        <f>COUNTIF('00 Start Here'!J2:J10,"Merge")</f>
        <v/>
      </c>
      <c r="J2" s="6">
        <f>COUNTIF('00 Start Here'!P2:P10,"High")</f>
        <v/>
      </c>
      <c r="K2" s="6">
        <f>'Sign-up'!J2</f>
        <v/>
      </c>
    </row>
    <row r="3">
      <c r="A3" s="6" t="inlineStr">
        <is>
          <t>01 Positions, Recruitment &amp; Hiring</t>
        </is>
      </c>
      <c r="B3" s="6">
        <f>TRIM('Sign-up'!E3&amp;IF(LEN('Sign-up'!G3)&gt;0,", "&amp;'Sign-up'!G3,""))</f>
        <v/>
      </c>
      <c r="C3" s="6" t="n">
        <v>19</v>
      </c>
      <c r="D3" s="6">
        <f>COUNTA('01 Hiring'!J2:J20)</f>
        <v/>
      </c>
      <c r="E3" s="9">
        <f>IFERROR(D3/C3,0)</f>
        <v/>
      </c>
      <c r="F3" s="6">
        <f>COUNTIF('01 Hiring'!J2:J20,"Keep")</f>
        <v/>
      </c>
      <c r="G3" s="6">
        <f>COUNTIF('01 Hiring'!J2:J20,"Change")</f>
        <v/>
      </c>
      <c r="H3" s="6">
        <f>COUNTIF('01 Hiring'!J2:J20,"Remove")</f>
        <v/>
      </c>
      <c r="I3" s="6">
        <f>COUNTIF('01 Hiring'!J2:J20,"Merge")</f>
        <v/>
      </c>
      <c r="J3" s="6">
        <f>COUNTIF('01 Hiring'!P2:P20,"High")</f>
        <v/>
      </c>
      <c r="K3" s="6">
        <f>'Sign-up'!J3</f>
        <v/>
      </c>
    </row>
    <row r="4">
      <c r="A4" s="6" t="inlineStr">
        <is>
          <t>02 Payroll &amp; Timecards</t>
        </is>
      </c>
      <c r="B4" s="6">
        <f>TRIM('Sign-up'!E4&amp;IF(LEN('Sign-up'!G4)&gt;0,", "&amp;'Sign-up'!G4,""))</f>
        <v/>
      </c>
      <c r="C4" s="6" t="n">
        <v>12</v>
      </c>
      <c r="D4" s="6">
        <f>COUNTA('02 Payroll'!J2:J13)</f>
        <v/>
      </c>
      <c r="E4" s="9">
        <f>IFERROR(D4/C4,0)</f>
        <v/>
      </c>
      <c r="F4" s="6">
        <f>COUNTIF('02 Payroll'!J2:J13,"Keep")</f>
        <v/>
      </c>
      <c r="G4" s="6">
        <f>COUNTIF('02 Payroll'!J2:J13,"Change")</f>
        <v/>
      </c>
      <c r="H4" s="6">
        <f>COUNTIF('02 Payroll'!J2:J13,"Remove")</f>
        <v/>
      </c>
      <c r="I4" s="6">
        <f>COUNTIF('02 Payroll'!J2:J13,"Merge")</f>
        <v/>
      </c>
      <c r="J4" s="6">
        <f>COUNTIF('02 Payroll'!P2:P13,"High")</f>
        <v/>
      </c>
      <c r="K4" s="6">
        <f>'Sign-up'!J4</f>
        <v/>
      </c>
    </row>
    <row r="5">
      <c r="A5" s="6" t="inlineStr">
        <is>
          <t>03 Assignments</t>
        </is>
      </c>
      <c r="B5" s="6">
        <f>TRIM('Sign-up'!E5&amp;IF(LEN('Sign-up'!G5)&gt;0,", "&amp;'Sign-up'!G5,""))</f>
        <v/>
      </c>
      <c r="C5" s="6" t="n">
        <v>13</v>
      </c>
      <c r="D5" s="6">
        <f>COUNTA('03 Assignments'!J2:J14)</f>
        <v/>
      </c>
      <c r="E5" s="9">
        <f>IFERROR(D5/C5,0)</f>
        <v/>
      </c>
      <c r="F5" s="6">
        <f>COUNTIF('03 Assignments'!J2:J14,"Keep")</f>
        <v/>
      </c>
      <c r="G5" s="6">
        <f>COUNTIF('03 Assignments'!J2:J14,"Change")</f>
        <v/>
      </c>
      <c r="H5" s="6">
        <f>COUNTIF('03 Assignments'!J2:J14,"Remove")</f>
        <v/>
      </c>
      <c r="I5" s="6">
        <f>COUNTIF('03 Assignments'!J2:J14,"Merge")</f>
        <v/>
      </c>
      <c r="J5" s="6">
        <f>COUNTIF('03 Assignments'!P2:P14,"High")</f>
        <v/>
      </c>
      <c r="K5" s="6">
        <f>'Sign-up'!J5</f>
        <v/>
      </c>
    </row>
    <row r="6">
      <c r="A6" s="6" t="inlineStr">
        <is>
          <t>04 Leave Management</t>
        </is>
      </c>
      <c r="B6" s="6">
        <f>TRIM('Sign-up'!E6&amp;IF(LEN('Sign-up'!G6)&gt;0,", "&amp;'Sign-up'!G6,""))</f>
        <v/>
      </c>
      <c r="C6" s="6" t="n">
        <v>5</v>
      </c>
      <c r="D6" s="6">
        <f>COUNTA('04 Leave'!J2:J6)</f>
        <v/>
      </c>
      <c r="E6" s="9">
        <f>IFERROR(D6/C6,0)</f>
        <v/>
      </c>
      <c r="F6" s="6">
        <f>COUNTIF('04 Leave'!J2:J6,"Keep")</f>
        <v/>
      </c>
      <c r="G6" s="6">
        <f>COUNTIF('04 Leave'!J2:J6,"Change")</f>
        <v/>
      </c>
      <c r="H6" s="6">
        <f>COUNTIF('04 Leave'!J2:J6,"Remove")</f>
        <v/>
      </c>
      <c r="I6" s="6">
        <f>COUNTIF('04 Leave'!J2:J6,"Merge")</f>
        <v/>
      </c>
      <c r="J6" s="6">
        <f>COUNTIF('04 Leave'!P2:P6,"High")</f>
        <v/>
      </c>
      <c r="K6" s="6">
        <f>'Sign-up'!J6</f>
        <v/>
      </c>
    </row>
    <row r="7">
      <c r="A7" s="6" t="inlineStr">
        <is>
          <t>05 Costing Management</t>
        </is>
      </c>
      <c r="B7" s="6">
        <f>TRIM('Sign-up'!E7&amp;IF(LEN('Sign-up'!G7)&gt;0,", "&amp;'Sign-up'!G7,""))</f>
        <v/>
      </c>
      <c r="C7" s="6" t="n">
        <v>5</v>
      </c>
      <c r="D7" s="6">
        <f>COUNTA('05 Costing'!J2:J6)</f>
        <v/>
      </c>
      <c r="E7" s="9">
        <f>IFERROR(D7/C7,0)</f>
        <v/>
      </c>
      <c r="F7" s="6">
        <f>COUNTIF('05 Costing'!J2:J6,"Keep")</f>
        <v/>
      </c>
      <c r="G7" s="6">
        <f>COUNTIF('05 Costing'!J2:J6,"Change")</f>
        <v/>
      </c>
      <c r="H7" s="6">
        <f>COUNTIF('05 Costing'!J2:J6,"Remove")</f>
        <v/>
      </c>
      <c r="I7" s="6">
        <f>COUNTIF('05 Costing'!J2:J6,"Merge")</f>
        <v/>
      </c>
      <c r="J7" s="6">
        <f>COUNTIF('05 Costing'!P2:P6,"High")</f>
        <v/>
      </c>
      <c r="K7" s="6">
        <f>'Sign-up'!J7</f>
        <v/>
      </c>
    </row>
    <row r="8">
      <c r="A8" s="6" t="inlineStr">
        <is>
          <t>06 Student &amp; Faculty Hiring and Assignments</t>
        </is>
      </c>
      <c r="B8" s="6">
        <f>TRIM('Sign-up'!E8&amp;IF(LEN('Sign-up'!G8)&gt;0,", "&amp;'Sign-up'!G8,""))</f>
        <v/>
      </c>
      <c r="C8" s="6" t="n">
        <v>11</v>
      </c>
      <c r="D8" s="6">
        <f>COUNTA('06 Students and Faculty'!J2:J12)</f>
        <v/>
      </c>
      <c r="E8" s="9">
        <f>IFERROR(D8/C8,0)</f>
        <v/>
      </c>
      <c r="F8" s="6">
        <f>COUNTIF('06 Students and Faculty'!J2:J12,"Keep")</f>
        <v/>
      </c>
      <c r="G8" s="6">
        <f>COUNTIF('06 Students and Faculty'!J2:J12,"Change")</f>
        <v/>
      </c>
      <c r="H8" s="6">
        <f>COUNTIF('06 Students and Faculty'!J2:J12,"Remove")</f>
        <v/>
      </c>
      <c r="I8" s="6">
        <f>COUNTIF('06 Students and Faculty'!J2:J12,"Merge")</f>
        <v/>
      </c>
      <c r="J8" s="6">
        <f>COUNTIF('06 Students and Faculty'!P2:P12,"High")</f>
        <v/>
      </c>
      <c r="K8" s="6">
        <f>'Sign-up'!J8</f>
        <v/>
      </c>
    </row>
    <row r="9">
      <c r="A9" s="6" t="inlineStr">
        <is>
          <t>07 Document Records &amp; Reporting</t>
        </is>
      </c>
      <c r="B9" s="6">
        <f>TRIM('Sign-up'!E9&amp;IF(LEN('Sign-up'!G9)&gt;0,", "&amp;'Sign-up'!G9,""))</f>
        <v/>
      </c>
      <c r="C9" s="6" t="n">
        <v>5</v>
      </c>
      <c r="D9" s="6">
        <f>COUNTA('07 Records'!J2:J6)</f>
        <v/>
      </c>
      <c r="E9" s="9">
        <f>IFERROR(D9/C9,0)</f>
        <v/>
      </c>
      <c r="F9" s="6">
        <f>COUNTIF('07 Records'!J2:J6,"Keep")</f>
        <v/>
      </c>
      <c r="G9" s="6">
        <f>COUNTIF('07 Records'!J2:J6,"Change")</f>
        <v/>
      </c>
      <c r="H9" s="6">
        <f>COUNTIF('07 Records'!J2:J6,"Remove")</f>
        <v/>
      </c>
      <c r="I9" s="6">
        <f>COUNTIF('07 Records'!J2:J6,"Merge")</f>
        <v/>
      </c>
      <c r="J9" s="6">
        <f>COUNTIF('07 Records'!P2:P6,"High")</f>
        <v/>
      </c>
      <c r="K9" s="6">
        <f>'Sign-up'!J9</f>
        <v/>
      </c>
    </row>
    <row r="10">
      <c r="A10" s="11" t="inlineStr">
        <is>
          <t>All sections</t>
        </is>
      </c>
      <c r="B10" s="11" t="inlineStr"/>
      <c r="C10" s="11">
        <f>SUM(C2:C9)</f>
        <v/>
      </c>
      <c r="D10" s="11">
        <f>SUM(D2:D9)</f>
        <v/>
      </c>
      <c r="E10" s="12">
        <f>IFERROR(D10/C10,0)</f>
        <v/>
      </c>
      <c r="F10" s="11">
        <f>SUM(F2:F9)</f>
        <v/>
      </c>
      <c r="G10" s="11">
        <f>SUM(G2:G9)</f>
        <v/>
      </c>
      <c r="H10" s="11">
        <f>SUM(H2:H9)</f>
        <v/>
      </c>
      <c r="I10" s="11">
        <f>SUM(I2:I9)</f>
        <v/>
      </c>
      <c r="J10" s="11">
        <f>SUM(J2:J9)</f>
        <v/>
      </c>
      <c r="K10" s="11" t="inlineStr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CFAE70"/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Keep</t>
        </is>
      </c>
      <c r="B1" t="inlineStr">
        <is>
          <t>Accurate</t>
        </is>
      </c>
      <c r="C1" t="inlineStr">
        <is>
          <t>High</t>
        </is>
      </c>
      <c r="D1" t="inlineStr">
        <is>
          <t>Open</t>
        </is>
      </c>
      <c r="E1" t="inlineStr">
        <is>
          <t>Not started</t>
        </is>
      </c>
      <c r="F1" t="inlineStr">
        <is>
          <t>Right as is</t>
        </is>
      </c>
    </row>
    <row r="2">
      <c r="A2" t="inlineStr">
        <is>
          <t>Change</t>
        </is>
      </c>
      <c r="B2" t="inlineStr">
        <is>
          <t>Needs change</t>
        </is>
      </c>
      <c r="C2" t="inlineStr">
        <is>
          <t>Medium</t>
        </is>
      </c>
      <c r="D2" t="inlineStr">
        <is>
          <t>In progress</t>
        </is>
      </c>
      <c r="E2" t="inlineStr">
        <is>
          <t>In progress</t>
        </is>
      </c>
      <c r="F2" t="inlineStr">
        <is>
          <t>Rename</t>
        </is>
      </c>
    </row>
    <row r="3">
      <c r="A3" t="inlineStr">
        <is>
          <t>Remove</t>
        </is>
      </c>
      <c r="B3" t="inlineStr">
        <is>
          <t>Wrong</t>
        </is>
      </c>
      <c r="C3" t="inlineStr">
        <is>
          <t>Low</t>
        </is>
      </c>
      <c r="D3" t="inlineStr">
        <is>
          <t>Done</t>
        </is>
      </c>
      <c r="E3" t="inlineStr">
        <is>
          <t>Done</t>
        </is>
      </c>
      <c r="F3" t="inlineStr">
        <is>
          <t>Reorder</t>
        </is>
      </c>
    </row>
    <row r="4">
      <c r="A4" t="inlineStr">
        <is>
          <t>Merge</t>
        </is>
      </c>
      <c r="B4" t="inlineStr">
        <is>
          <t>Not reviewed</t>
        </is>
      </c>
      <c r="D4" t="inlineStr">
        <is>
          <t>Won't change</t>
        </is>
      </c>
      <c r="F4" t="inlineStr">
        <is>
          <t>Missing subtopics</t>
        </is>
      </c>
    </row>
    <row r="5">
      <c r="F5" t="inlineStr">
        <is>
          <t>Split</t>
        </is>
      </c>
    </row>
    <row r="6">
      <c r="F6" t="inlineStr">
        <is>
          <t>Merge with another section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2026-10-21T20:17:56Z</dcterms:created>
  <dcterms:modified xmlns:dcterms="http://purl.org/dc/terms/" xmlns:xsi="http://www.w3.org/2001/XMLSchema-instance" xsi:type="dcterms:W3CDTF">2026-10-21T20:17:57Z</dcterms:modified>
</cp:coreProperties>
</file>